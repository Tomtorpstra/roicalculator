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torpstra/Desktop/"/>
    </mc:Choice>
  </mc:AlternateContent>
  <xr:revisionPtr revIDLastSave="0" documentId="13_ncr:1_{3E24A12B-CA5F-DE4D-ABED-BEAC11DB4B92}" xr6:coauthVersionLast="47" xr6:coauthVersionMax="47" xr10:uidLastSave="{00000000-0000-0000-0000-000000000000}"/>
  <bookViews>
    <workbookView xWindow="0" yWindow="760" windowWidth="30240" windowHeight="17660" activeTab="1" xr2:uid="{CAE2C238-BC53-6042-821D-BAD944918442}"/>
  </bookViews>
  <sheets>
    <sheet name="OEE overzicht" sheetId="1" r:id="rId1"/>
    <sheet name="Blad3" sheetId="6" r:id="rId2"/>
    <sheet name="OEE categorie checklist" sheetId="2" r:id="rId3"/>
    <sheet name="Blue vs T4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6" l="1"/>
  <c r="D9" i="6"/>
  <c r="E9" i="6"/>
  <c r="F9" i="6"/>
  <c r="G9" i="6"/>
  <c r="H9" i="6"/>
  <c r="I9" i="6"/>
  <c r="J9" i="6"/>
  <c r="K9" i="6"/>
  <c r="L9" i="6"/>
  <c r="C10" i="6"/>
  <c r="D10" i="6"/>
  <c r="E10" i="6"/>
  <c r="F10" i="6"/>
  <c r="G10" i="6"/>
  <c r="H10" i="6"/>
  <c r="I10" i="6"/>
  <c r="J10" i="6"/>
  <c r="K10" i="6"/>
  <c r="L10" i="6"/>
  <c r="C11" i="6"/>
  <c r="D11" i="6"/>
  <c r="E11" i="6"/>
  <c r="F11" i="6"/>
  <c r="G11" i="6"/>
  <c r="H11" i="6"/>
  <c r="I11" i="6"/>
  <c r="J11" i="6"/>
  <c r="K11" i="6"/>
  <c r="L11" i="6"/>
  <c r="C12" i="6"/>
  <c r="D12" i="6"/>
  <c r="E12" i="6"/>
  <c r="F12" i="6"/>
  <c r="G12" i="6"/>
  <c r="H12" i="6"/>
  <c r="I12" i="6"/>
  <c r="J12" i="6"/>
  <c r="K12" i="6"/>
  <c r="L12" i="6"/>
  <c r="C13" i="6"/>
  <c r="D13" i="6"/>
  <c r="E13" i="6"/>
  <c r="F13" i="6"/>
  <c r="G13" i="6"/>
  <c r="H13" i="6"/>
  <c r="I13" i="6"/>
  <c r="J13" i="6"/>
  <c r="K13" i="6"/>
  <c r="L13" i="6"/>
  <c r="C14" i="6"/>
  <c r="D14" i="6"/>
  <c r="E14" i="6"/>
  <c r="F14" i="6"/>
  <c r="G14" i="6"/>
  <c r="H14" i="6"/>
  <c r="I14" i="6"/>
  <c r="J14" i="6"/>
  <c r="K14" i="6"/>
  <c r="L14" i="6"/>
  <c r="C15" i="6"/>
  <c r="D15" i="6"/>
  <c r="E15" i="6"/>
  <c r="F15" i="6"/>
  <c r="G15" i="6"/>
  <c r="H15" i="6"/>
  <c r="I15" i="6"/>
  <c r="J15" i="6"/>
  <c r="K15" i="6"/>
  <c r="L15" i="6"/>
  <c r="C16" i="6"/>
  <c r="D16" i="6"/>
  <c r="E16" i="6"/>
  <c r="F16" i="6"/>
  <c r="G16" i="6"/>
  <c r="H16" i="6"/>
  <c r="I16" i="6"/>
  <c r="J16" i="6"/>
  <c r="K16" i="6"/>
  <c r="L16" i="6"/>
  <c r="C17" i="6"/>
  <c r="D17" i="6"/>
  <c r="E17" i="6"/>
  <c r="F17" i="6"/>
  <c r="G17" i="6"/>
  <c r="H17" i="6"/>
  <c r="I17" i="6"/>
  <c r="J17" i="6"/>
  <c r="K17" i="6"/>
  <c r="L17" i="6"/>
  <c r="C18" i="6"/>
  <c r="D18" i="6"/>
  <c r="E18" i="6"/>
  <c r="F18" i="6"/>
  <c r="G18" i="6"/>
  <c r="H18" i="6"/>
  <c r="I18" i="6"/>
  <c r="J18" i="6"/>
  <c r="K18" i="6"/>
  <c r="L18" i="6"/>
  <c r="C19" i="6"/>
  <c r="D19" i="6"/>
  <c r="E19" i="6"/>
  <c r="F19" i="6"/>
  <c r="G19" i="6"/>
  <c r="H19" i="6"/>
  <c r="I19" i="6"/>
  <c r="J19" i="6"/>
  <c r="K19" i="6"/>
  <c r="L19" i="6"/>
  <c r="C20" i="6"/>
  <c r="D20" i="6"/>
  <c r="E20" i="6"/>
  <c r="F20" i="6"/>
  <c r="G20" i="6"/>
  <c r="H20" i="6"/>
  <c r="I20" i="6"/>
  <c r="J20" i="6"/>
  <c r="K20" i="6"/>
  <c r="L20" i="6"/>
  <c r="D8" i="6"/>
  <c r="E8" i="6"/>
  <c r="F8" i="6"/>
  <c r="G8" i="6"/>
  <c r="H8" i="6"/>
  <c r="I8" i="6"/>
  <c r="J8" i="6"/>
  <c r="K8" i="6"/>
  <c r="L8" i="6"/>
  <c r="C8" i="6"/>
  <c r="I13" i="1"/>
  <c r="I14" i="1"/>
  <c r="I15" i="1"/>
  <c r="I16" i="1"/>
  <c r="I17" i="1"/>
  <c r="I18" i="1"/>
  <c r="I19" i="1"/>
  <c r="I20" i="1"/>
  <c r="I21" i="1"/>
  <c r="I22" i="1"/>
  <c r="I23" i="1"/>
  <c r="I24" i="1"/>
  <c r="I12" i="1"/>
  <c r="F28" i="2"/>
  <c r="T17" i="1"/>
  <c r="T21" i="1"/>
  <c r="U13" i="1"/>
  <c r="R20" i="1"/>
  <c r="U20" i="1" s="1"/>
  <c r="U12" i="1"/>
  <c r="U14" i="1"/>
  <c r="U15" i="1"/>
  <c r="U16" i="1"/>
  <c r="U17" i="1"/>
  <c r="U18" i="1"/>
  <c r="U19" i="1"/>
  <c r="U21" i="1"/>
  <c r="U22" i="1"/>
  <c r="U23" i="1"/>
  <c r="U24" i="1"/>
  <c r="M13" i="1"/>
  <c r="X13" i="1" s="1"/>
  <c r="M14" i="1"/>
  <c r="X14" i="1" s="1"/>
  <c r="M15" i="1"/>
  <c r="X15" i="1" s="1"/>
  <c r="M16" i="1"/>
  <c r="X16" i="1" s="1"/>
  <c r="M18" i="1"/>
  <c r="X18" i="1" s="1"/>
  <c r="M12" i="1"/>
  <c r="X12" i="1" s="1"/>
  <c r="J22" i="1"/>
  <c r="J17" i="1"/>
  <c r="M17" i="1" s="1"/>
  <c r="X17" i="1" s="1"/>
  <c r="J19" i="1"/>
  <c r="J20" i="1"/>
  <c r="M20" i="1" s="1"/>
  <c r="X20" i="1" s="1"/>
  <c r="J21" i="1"/>
  <c r="J23" i="1"/>
  <c r="M23" i="1" s="1"/>
  <c r="X23" i="1" s="1"/>
  <c r="J24" i="1"/>
  <c r="M24" i="1" s="1"/>
  <c r="X24" i="1" s="1"/>
  <c r="Y13" i="1" l="1"/>
  <c r="AC13" i="1"/>
  <c r="AA13" i="1"/>
  <c r="AG13" i="1"/>
  <c r="AE13" i="1"/>
  <c r="Y12" i="1"/>
  <c r="AE12" i="1"/>
  <c r="AA12" i="1"/>
  <c r="AC12" i="1"/>
  <c r="AG12" i="1"/>
  <c r="AE14" i="1"/>
  <c r="AA14" i="1"/>
  <c r="Y14" i="1"/>
  <c r="AG14" i="1"/>
  <c r="AC14" i="1"/>
  <c r="AE15" i="1"/>
  <c r="AA15" i="1"/>
  <c r="AG15" i="1"/>
  <c r="AC15" i="1"/>
  <c r="Y15" i="1"/>
  <c r="AE16" i="1"/>
  <c r="AC16" i="1"/>
  <c r="AG16" i="1"/>
  <c r="AA16" i="1"/>
  <c r="Y16" i="1"/>
  <c r="AE17" i="1"/>
  <c r="AC17" i="1"/>
  <c r="AG17" i="1"/>
  <c r="AA17" i="1"/>
  <c r="Y17" i="1"/>
  <c r="AC18" i="1"/>
  <c r="Y18" i="1"/>
  <c r="AA18" i="1"/>
  <c r="AE18" i="1"/>
  <c r="AG18" i="1"/>
  <c r="Y19" i="1"/>
  <c r="AA19" i="1"/>
  <c r="AE19" i="1"/>
  <c r="AG19" i="1"/>
  <c r="AC19" i="1"/>
  <c r="AE20" i="1"/>
  <c r="AC20" i="1"/>
  <c r="AA20" i="1"/>
  <c r="Y20" i="1"/>
  <c r="AG20" i="1"/>
  <c r="AA21" i="1"/>
  <c r="AC21" i="1"/>
  <c r="Y21" i="1"/>
  <c r="AG21" i="1"/>
  <c r="AE21" i="1"/>
  <c r="AC22" i="1"/>
  <c r="AA22" i="1"/>
  <c r="AE22" i="1"/>
  <c r="Y22" i="1"/>
  <c r="AG22" i="1"/>
  <c r="AE23" i="1"/>
  <c r="AC23" i="1"/>
  <c r="Y23" i="1"/>
  <c r="AG23" i="1"/>
  <c r="AA23" i="1"/>
  <c r="AC24" i="1"/>
  <c r="AE24" i="1"/>
  <c r="AG24" i="1"/>
  <c r="Y24" i="1"/>
  <c r="AA24" i="1"/>
  <c r="AB13" i="1"/>
  <c r="Z13" i="1"/>
  <c r="AF13" i="1"/>
  <c r="AD13" i="1"/>
  <c r="Z14" i="1"/>
  <c r="AB14" i="1"/>
  <c r="AF14" i="1"/>
  <c r="AD14" i="1"/>
  <c r="Z15" i="1"/>
  <c r="AF15" i="1"/>
  <c r="AB15" i="1"/>
  <c r="AD15" i="1"/>
  <c r="Z16" i="1"/>
  <c r="AB16" i="1"/>
  <c r="AD16" i="1"/>
  <c r="AF16" i="1"/>
  <c r="AD18" i="1"/>
  <c r="AF18" i="1"/>
  <c r="Z18" i="1"/>
  <c r="AB18" i="1"/>
  <c r="Z12" i="1"/>
  <c r="AF12" i="1"/>
  <c r="AB12" i="1"/>
  <c r="AD12" i="1"/>
  <c r="AD17" i="1"/>
  <c r="AF17" i="1"/>
  <c r="Z17" i="1"/>
  <c r="AB17" i="1"/>
  <c r="AD20" i="1"/>
  <c r="AB20" i="1"/>
  <c r="AF20" i="1"/>
  <c r="Z20" i="1"/>
  <c r="AD23" i="1"/>
  <c r="AF23" i="1"/>
  <c r="AB23" i="1"/>
  <c r="Z23" i="1"/>
  <c r="AF24" i="1"/>
  <c r="AB24" i="1"/>
  <c r="AD24" i="1"/>
  <c r="Z24" i="1"/>
  <c r="M22" i="1"/>
  <c r="X22" i="1" s="1"/>
  <c r="M19" i="1"/>
  <c r="X19" i="1" s="1"/>
  <c r="M21" i="1"/>
  <c r="X21" i="1" s="1"/>
  <c r="AF22" i="1" l="1"/>
  <c r="AB22" i="1"/>
  <c r="AD22" i="1"/>
  <c r="Z22" i="1"/>
  <c r="AF19" i="1"/>
  <c r="AB19" i="1"/>
  <c r="Z19" i="1"/>
  <c r="AD19" i="1"/>
  <c r="AD21" i="1"/>
  <c r="AF21" i="1"/>
  <c r="AB21" i="1"/>
  <c r="Z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tc={718805C7-B405-C745-8BF9-6F0ADD2EC612}</author>
    <author>tc={97C4A436-156D-C546-8656-8551F4D65C64}</author>
    <author>tc={0F0BC965-D4F5-874F-B093-645CD850D961}</author>
    <author>tc={2644F8D1-A389-8546-9718-93A135B0D0A0}</author>
    <author>tc={602A1A35-ACBD-4542-A616-07DFDD03F832}</author>
    <author>tc={A866F3FF-B3AB-A847-9DB3-A0B4ABC580D3}</author>
    <author>tc={0A1B9C72-FD36-1C45-B83F-02B623C068D2}</author>
    <author>tc={01E77E6C-80E2-7044-9516-C784FFF4188A}</author>
  </authors>
  <commentList>
    <comment ref="C11" authorId="0" shapeId="0" xr:uid="{718805C7-B405-C745-8BF9-6F0ADD2EC612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Bron: Eurostat – Structural Business Statistics (SBS)</t>
      </text>
    </comment>
    <comment ref="D11" authorId="1" shapeId="0" xr:uid="{97C4A436-156D-C546-8656-8551F4D65C64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Bronnen:
Nakajima – Introduction to TPM
Vorne Industries – OEE benchmark reports
Rockwell Automation / Siemens (geaggregeerde klantdata)
McKinsey / BCG manufacturing benchmarks</t>
      </text>
    </comment>
    <comment ref="J11" authorId="2" shapeId="0" xr:uid="{0F0BC965-D4F5-874F-B093-645CD850D961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Verdeling B/P/Q bron: TPM-pijlers (Nakajima)
ISO 22400 (manufacturing KPI’s)
Lean manufacturing studies
Industriële praktijkcases</t>
      </text>
    </comment>
    <comment ref="M11" authorId="3" shapeId="0" xr:uid="{2644F8D1-A389-8546-9718-93A135B0D0A0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Bron: TPM-literatuur (Nakajima)
Manufacturing maturity models (McKinsey, Siemens, Rockwell)
OEE-software benchmarkdata (Vorne, GE Digital)</t>
      </text>
    </comment>
    <comment ref="R11" authorId="4" shapeId="0" xr:uid="{602A1A35-ACBD-4542-A616-07DFDD03F832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Verdeling B/P/Q bron: TPM-pijlers (Nakajima)
ISO 22400 (manufacturing KPI’s)
Lean manufacturing studies
Industriële praktijkcases</t>
      </text>
    </comment>
    <comment ref="U11" authorId="5" shapeId="0" xr:uid="{A866F3FF-B3AB-A847-9DB3-A0B4ABC580D3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Bron: TPM-literatuur (Nakajima)
Manufacturing maturity models (McKinsey, Siemens, Rockwell)
OEE-software benchmarkdata (Vorne, GE Digital)</t>
      </text>
    </comment>
    <comment ref="M12" authorId="6" shapeId="0" xr:uid="{0A1B9C72-FD36-1C45-B83F-02B623C068D2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€-impact per component=(Toegevoegde waarde per uur)×(Totale OEE-winst)×(A/P/Q-aandeel)</t>
      </text>
    </comment>
    <comment ref="U12" authorId="7" shapeId="0" xr:uid="{01E77E6C-80E2-7044-9516-C784FFF4188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€-impact per component=(Toegevoegde waarde per uur)×(Totale OEE-winst)×(A/P/Q-aandeel)</t>
      </text>
    </comment>
  </commentList>
</comments>
</file>

<file path=xl/sharedStrings.xml><?xml version="1.0" encoding="utf-8"?>
<sst xmlns="http://schemas.openxmlformats.org/spreadsheetml/2006/main" count="178" uniqueCount="95">
  <si>
    <t>Ploegen</t>
  </si>
  <si>
    <t>Sectoren</t>
  </si>
  <si>
    <t>Food</t>
  </si>
  <si>
    <t>Bottlers</t>
  </si>
  <si>
    <t>Textiel</t>
  </si>
  <si>
    <t>Hout</t>
  </si>
  <si>
    <t>Papier</t>
  </si>
  <si>
    <t>Chemie</t>
  </si>
  <si>
    <t>Farmaseutisch</t>
  </si>
  <si>
    <t>Kunststof</t>
  </si>
  <si>
    <t>Metaal</t>
  </si>
  <si>
    <t>Machine bouw</t>
  </si>
  <si>
    <t>Electronica</t>
  </si>
  <si>
    <t>Olie en rafinaderij</t>
  </si>
  <si>
    <t>Aantal werkbare uren</t>
  </si>
  <si>
    <t>Eurostat Structural Business Statistics (SBS) &amp; Eurostat – NACE Rev.2 (2022&amp;2023)</t>
  </si>
  <si>
    <t>Bronnen:</t>
  </si>
  <si>
    <t>Toegevoegde waarde per uur:</t>
  </si>
  <si>
    <t>OEE getallen per sector:</t>
  </si>
  <si>
    <t>De OEE-besparingspercentages zijn gebaseerd op TPM-literatuur (Nakajima), internationale consultancybenchmarks (McKinsey, BCG), geaggregeerde OEE-softwaredata en peer-reviewed manufacturing studies, en worden daarom als realistische bandbreedtes gepresenteerd.</t>
  </si>
  <si>
    <t>Typische OEE start</t>
  </si>
  <si>
    <t>Auto en transport</t>
  </si>
  <si>
    <t>Beschikbaarheid</t>
  </si>
  <si>
    <t>Performance</t>
  </si>
  <si>
    <t>Kwaliteit</t>
  </si>
  <si>
    <t>Veschillende ploegen regimes</t>
  </si>
  <si>
    <t>Toegevoegd waarde per uur</t>
  </si>
  <si>
    <t>Verdiensten per lijn</t>
  </si>
  <si>
    <t>De overstap van geen OEE naar lokale OEE levert circa 60% van de totale haalbare winst, terwijl de upgrade naar moderne, gekoppelde OEE de resterende 40% ontsluit.</t>
  </si>
  <si>
    <r>
      <t>In TPM-literatuur wordt aangegeven dat </t>
    </r>
    <r>
      <rPr>
        <b/>
        <sz val="12"/>
        <color rgb="FF000000"/>
        <rFont val="Aptos Narrow"/>
        <family val="2"/>
        <scheme val="minor"/>
      </rPr>
      <t>ongeveer 1/3 van het potentieel</t>
    </r>
    <r>
      <rPr>
        <sz val="14"/>
        <color rgb="FF000000"/>
        <rFont val="-webkit-standard"/>
      </rPr>
      <t> wordt gerealiseerd in de “measurement-only phase”. - Nakajima, Introduction to TPM, Productivity Press</t>
    </r>
  </si>
  <si>
    <r>
      <t>OEE manufacturing analytics Gebruikt door o.a. </t>
    </r>
    <r>
      <rPr>
        <b/>
        <sz val="12"/>
        <color rgb="FF000000"/>
        <rFont val="Aptos Narrow"/>
        <family val="2"/>
        <scheme val="minor"/>
      </rPr>
      <t>McKinsey, BCG, Siemens, Rockwell</t>
    </r>
  </si>
  <si>
    <t>Totaal</t>
  </si>
  <si>
    <t>1 ploeg</t>
  </si>
  <si>
    <t>2 ploegen</t>
  </si>
  <si>
    <t>3 ploegen</t>
  </si>
  <si>
    <t>4 ploegen</t>
  </si>
  <si>
    <t>5 ploegen</t>
  </si>
  <si>
    <t>Toegevoegde waarde verhoging binnen 1-3 jaar per lijn</t>
  </si>
  <si>
    <t>30-40%</t>
  </si>
  <si>
    <t>70-80%</t>
  </si>
  <si>
    <t>Blue-T4A</t>
  </si>
  <si>
    <t>Betekenis</t>
  </si>
  <si>
    <t>Geen / ad hoc</t>
  </si>
  <si>
    <t>Definitie van een lijn</t>
  </si>
  <si>
    <t>Data &amp; meting</t>
  </si>
  <si>
    <t>OEE wordt automatisch gemeten</t>
  </si>
  <si>
    <t>Stilstanden worden realtime vastgelegd</t>
  </si>
  <si>
    <t>OEE per machine en per lijn</t>
  </si>
  <si>
    <t>Data is betrouwbaar en reproduceerbaar</t>
  </si>
  <si>
    <t>Ongeplande stops woden automatisch gedetecteerd</t>
  </si>
  <si>
    <t>Stopcodes zijn gestandaardiseerd</t>
  </si>
  <si>
    <t>MTBF en MTTR worden gestructureerd gebruikt</t>
  </si>
  <si>
    <t>Onderhoud gebruikt de OEE data actief</t>
  </si>
  <si>
    <t>Snelheid tov de number plate capacity wordt gemeten</t>
  </si>
  <si>
    <t>Micro stops zijn zichtbaar</t>
  </si>
  <si>
    <t>Omsteltijden worden structureel gemeten</t>
  </si>
  <si>
    <t>Lijnbalans wordt gestuurd middels OEE</t>
  </si>
  <si>
    <t>Afkeur en herbewerking is automatisch gekoppeld</t>
  </si>
  <si>
    <t>First pas yield wordt gevolgd</t>
  </si>
  <si>
    <t>Kwaliteitsverlies per stap is zichtbaar</t>
  </si>
  <si>
    <t>Realtime kwaliteitsfeedback</t>
  </si>
  <si>
    <t>Sturing &amp; Gebruik</t>
  </si>
  <si>
    <t>Operators zien de OEE in realtime</t>
  </si>
  <si>
    <t>OEE wordt besroken in dag en weekstarts</t>
  </si>
  <si>
    <t>Management stuurt op trends</t>
  </si>
  <si>
    <t>Verbeteracties zijn gekoppeld aan OEE</t>
  </si>
  <si>
    <t>IT &amp; Schaalbaarheid</t>
  </si>
  <si>
    <t>Machines en lijnen zijn gekoppeld</t>
  </si>
  <si>
    <t>OEE is remote inzihtelijk</t>
  </si>
  <si>
    <t>Dataopslag is centraal</t>
  </si>
  <si>
    <t>Integratie met MES/ERF</t>
  </si>
  <si>
    <t>Nee (0)</t>
  </si>
  <si>
    <t>Gedeeltelijk (1)</t>
  </si>
  <si>
    <t>Ja (2)</t>
  </si>
  <si>
    <t>Totalen</t>
  </si>
  <si>
    <t>Scores</t>
  </si>
  <si>
    <t>0-15</t>
  </si>
  <si>
    <t>16-25</t>
  </si>
  <si>
    <t>26-35</t>
  </si>
  <si>
    <t>36-48</t>
  </si>
  <si>
    <t>Categorie</t>
  </si>
  <si>
    <t>Beperkt systeem</t>
  </si>
  <si>
    <t>Volledig gekoppelde OEE</t>
  </si>
  <si>
    <t>Predictive / Presciptive</t>
  </si>
  <si>
    <t>Nauwelijke effect</t>
  </si>
  <si>
    <t>&gt;80%</t>
  </si>
  <si>
    <t>Met Rob van dutch backery over sparren</t>
  </si>
  <si>
    <t>T4A/P4A</t>
  </si>
  <si>
    <t>Rekentabel</t>
  </si>
  <si>
    <t>Sector</t>
  </si>
  <si>
    <t>Totaal %</t>
  </si>
  <si>
    <r>
      <t xml:space="preserve">OEE Verhoging </t>
    </r>
    <r>
      <rPr>
        <sz val="12"/>
        <color theme="1"/>
        <rFont val="Aptos Narrow"/>
        <scheme val="minor"/>
      </rPr>
      <t>van niets naar T4A/P4A binnen 1-3 jaar</t>
    </r>
  </si>
  <si>
    <r>
      <t xml:space="preserve">Toegevoegde waarde per uur </t>
    </r>
    <r>
      <rPr>
        <sz val="12"/>
        <color theme="1"/>
        <rFont val="Aptos Narrow"/>
        <scheme val="minor"/>
      </rPr>
      <t>van niets naar T4A/P4A binnen 1-3 jaar</t>
    </r>
  </si>
  <si>
    <r>
      <t xml:space="preserve">OEE Verhoging </t>
    </r>
    <r>
      <rPr>
        <sz val="12"/>
        <color theme="1"/>
        <rFont val="Aptos Narrow"/>
        <scheme val="minor"/>
      </rPr>
      <t>upgrade naar T4A/P4A binnen 1-3 jaar</t>
    </r>
  </si>
  <si>
    <r>
      <t xml:space="preserve">Toegevoegde waarde per uur </t>
    </r>
    <r>
      <rPr>
        <sz val="12"/>
        <color theme="1"/>
        <rFont val="Aptos Narrow"/>
        <scheme val="minor"/>
      </rPr>
      <t>upgrade naar T4A/P4A binnen 1-3 jaar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</si>
</sst>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€&quot;\ * #,##0_);_(&quot;€&quot;\ * \(#,##0\);_(&quot;€&quot;\ * &quot;-&quot;_);_(@_)"/>
    <numFmt numFmtId="164" formatCode="0.0%"/>
    <numFmt numFmtId="165" formatCode="&quot;€&quot;\ #,##0.00"/>
  </numFmts>
  <fonts count="7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rgb="FF000000"/>
      <name val="-webkit-standard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thin">
        <color auto="1"/>
      </top>
      <bottom style="dashed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dotted">
        <color auto="1"/>
      </left>
      <right style="medium">
        <color auto="1"/>
      </right>
      <top/>
      <bottom style="thin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ashed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42" fontId="0" fillId="2" borderId="14" xfId="0" applyNumberFormat="1" applyFill="1" applyBorder="1" applyAlignment="1">
      <alignment horizontal="center"/>
    </xf>
    <xf numFmtId="42" fontId="0" fillId="2" borderId="15" xfId="0" applyNumberFormat="1" applyFill="1" applyBorder="1" applyAlignment="1">
      <alignment horizontal="center"/>
    </xf>
    <xf numFmtId="42" fontId="0" fillId="2" borderId="16" xfId="0" applyNumberFormat="1" applyFill="1" applyBorder="1" applyAlignment="1">
      <alignment horizontal="center"/>
    </xf>
    <xf numFmtId="42" fontId="0" fillId="2" borderId="17" xfId="0" applyNumberFormat="1" applyFill="1" applyBorder="1" applyAlignment="1">
      <alignment horizontal="center"/>
    </xf>
    <xf numFmtId="42" fontId="0" fillId="2" borderId="18" xfId="0" applyNumberFormat="1" applyFill="1" applyBorder="1" applyAlignment="1">
      <alignment horizontal="center"/>
    </xf>
    <xf numFmtId="42" fontId="0" fillId="2" borderId="19" xfId="0" applyNumberForma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0" borderId="0" xfId="0" applyFont="1" applyAlignment="1">
      <alignment horizontal="right" inden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textRotation="90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42" fontId="0" fillId="2" borderId="22" xfId="0" applyNumberFormat="1" applyFill="1" applyBorder="1" applyAlignment="1">
      <alignment horizontal="center"/>
    </xf>
    <xf numFmtId="42" fontId="0" fillId="2" borderId="23" xfId="0" applyNumberFormat="1" applyFill="1" applyBorder="1" applyAlignment="1">
      <alignment horizontal="center"/>
    </xf>
    <xf numFmtId="42" fontId="0" fillId="2" borderId="24" xfId="0" applyNumberForma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9" fontId="0" fillId="2" borderId="2" xfId="0" applyNumberFormat="1" applyFill="1" applyBorder="1" applyAlignment="1">
      <alignment horizontal="center"/>
    </xf>
    <xf numFmtId="9" fontId="0" fillId="2" borderId="3" xfId="0" applyNumberFormat="1" applyFill="1" applyBorder="1" applyAlignment="1">
      <alignment horizontal="center"/>
    </xf>
    <xf numFmtId="42" fontId="0" fillId="2" borderId="30" xfId="0" applyNumberFormat="1" applyFill="1" applyBorder="1" applyAlignment="1">
      <alignment horizontal="center"/>
    </xf>
    <xf numFmtId="42" fontId="0" fillId="2" borderId="31" xfId="0" applyNumberForma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42" fontId="0" fillId="2" borderId="34" xfId="0" applyNumberFormat="1" applyFill="1" applyBorder="1" applyAlignment="1">
      <alignment horizontal="center"/>
    </xf>
    <xf numFmtId="42" fontId="0" fillId="2" borderId="35" xfId="0" applyNumberFormat="1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253999</xdr:colOff>
      <xdr:row>5</xdr:row>
      <xdr:rowOff>114300</xdr:rowOff>
    </xdr:from>
    <xdr:to>
      <xdr:col>14</xdr:col>
      <xdr:colOff>77454</xdr:colOff>
      <xdr:row>25</xdr:row>
      <xdr:rowOff>114300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A12A2517-0C72-D467-23EA-718F9BA9C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499" y="1130300"/>
          <a:ext cx="10554955" cy="4064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om Torpstra" id="{62EF0D45-0B51-7D47-9CAE-CB75A98068A7}" userId="S::tom@Torpstra.nl::3efa2008-6c78-484e-84a7-6429696c8fe3" providerId="AD"/>
</personList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" dT="2025-12-22T15:04:17.41" personId="{62EF0D45-0B51-7D47-9CAE-CB75A98068A7}" id="{718805C7-B405-C745-8BF9-6F0ADD2EC612}">
    <text>Bron: Eurostat – Structural Business Statistics (SBS)</text>
  </threadedComment>
  <threadedComment ref="D11" dT="2025-12-22T15:04:41.51" personId="{62EF0D45-0B51-7D47-9CAE-CB75A98068A7}" id="{97C4A436-156D-C546-8656-8551F4D65C64}">
    <text>Bronnen:
Nakajima – Introduction to TPM
Vorne Industries – OEE benchmark reports
Rockwell Automation / Siemens (geaggregeerde klantdata)
McKinsey / BCG manufacturing benchmarks</text>
  </threadedComment>
  <threadedComment ref="J11" dT="2025-12-22T15:06:16.31" personId="{62EF0D45-0B51-7D47-9CAE-CB75A98068A7}" id="{0F0BC965-D4F5-874F-B093-645CD850D961}">
    <text>Verdeling B/P/Q bron: TPM-pijlers (Nakajima)
ISO 22400 (manufacturing KPI’s)
Lean manufacturing studies
Industriële praktijkcases</text>
  </threadedComment>
  <threadedComment ref="M11" dT="2025-12-22T15:05:20.01" personId="{62EF0D45-0B51-7D47-9CAE-CB75A98068A7}" id="{2644F8D1-A389-8546-9718-93A135B0D0A0}">
    <text>Bron: TPM-literatuur (Nakajima)
Manufacturing maturity models (McKinsey, Siemens, Rockwell)
OEE-software benchmarkdata (Vorne, GE Digital)</text>
  </threadedComment>
  <threadedComment ref="R11" dT="2025-12-22T15:06:54.54" personId="{62EF0D45-0B51-7D47-9CAE-CB75A98068A7}" id="{602A1A35-ACBD-4542-A616-07DFDD03F832}">
    <text>Verdeling B/P/Q bron: TPM-pijlers (Nakajima)
ISO 22400 (manufacturing KPI’s)
Lean manufacturing studies
Industriële praktijkcases</text>
  </threadedComment>
  <threadedComment ref="U11" dT="2025-12-22T15:05:58.34" personId="{62EF0D45-0B51-7D47-9CAE-CB75A98068A7}" id="{A866F3FF-B3AB-A847-9DB3-A0B4ABC580D3}">
    <text>Bron: TPM-literatuur (Nakajima)
Manufacturing maturity models (McKinsey, Siemens, Rockwell)
OEE-software benchmarkdata (Vorne, GE Digital)</text>
  </threadedComment>
  <threadedComment ref="M12" dT="2025-12-22T15:07:33.10" personId="{62EF0D45-0B51-7D47-9CAE-CB75A98068A7}" id="{0A1B9C72-FD36-1C45-B83F-02B623C068D2}">
    <text>€-impact per component=(Toegevoegde waarde per uur)×(Totale OEE-winst)×(A/P/Q-aandeel)</text>
  </threadedComment>
  <threadedComment ref="U12" dT="2025-12-22T15:07:26.81" personId="{62EF0D45-0B51-7D47-9CAE-CB75A98068A7}" id="{01E77E6C-80E2-7044-9516-C784FFF4188A}">
    <text>€-impact per component=(Toegevoegde waarde per uur)×(Totale OEE-winst)×(A/P/Q-aandeel)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E708-3A70-0E4B-9938-15F1B498298B}">
  <dimension ref="A2:AG32"/>
  <sheetViews>
    <sheetView showGridLines="0" topLeftCell="T2" zoomScale="107" zoomScaleNormal="150" workbookViewId="0">
      <selection activeCell="W8" sqref="W8:AG24"/>
    </sheetView>
  </sheetViews>
  <sheetFormatPr baseColWidth="10" defaultRowHeight="16"/>
  <cols>
    <col min="1" max="1" width="4.6640625" bestFit="1" customWidth="1"/>
    <col min="2" max="2" width="24.1640625" bestFit="1" customWidth="1"/>
    <col min="3" max="4" width="25" customWidth="1"/>
    <col min="5" max="5" width="1.5" customWidth="1"/>
    <col min="6" max="13" width="15.83203125" customWidth="1"/>
    <col min="14" max="14" width="1.5" customWidth="1"/>
    <col min="15" max="21" width="15.83203125" customWidth="1"/>
    <col min="22" max="22" width="2.1640625" customWidth="1"/>
    <col min="23" max="23" width="15.5" bestFit="1" customWidth="1"/>
    <col min="24" max="33" width="13.83203125" customWidth="1"/>
  </cols>
  <sheetData>
    <row r="2" spans="1:33">
      <c r="B2" s="30" t="s">
        <v>16</v>
      </c>
      <c r="C2" s="30"/>
      <c r="D2" s="2"/>
      <c r="E2" s="2"/>
    </row>
    <row r="3" spans="1:33">
      <c r="B3" t="s">
        <v>17</v>
      </c>
      <c r="C3" t="s">
        <v>15</v>
      </c>
    </row>
    <row r="4" spans="1:33">
      <c r="B4" t="s">
        <v>18</v>
      </c>
      <c r="C4" t="s">
        <v>19</v>
      </c>
    </row>
    <row r="5" spans="1:33">
      <c r="C5" t="s">
        <v>28</v>
      </c>
    </row>
    <row r="6" spans="1:33" ht="18">
      <c r="C6" t="s">
        <v>29</v>
      </c>
    </row>
    <row r="7" spans="1:33" ht="17" thickBot="1">
      <c r="C7" t="s">
        <v>30</v>
      </c>
    </row>
    <row r="8" spans="1:33" ht="23" thickBot="1">
      <c r="C8" s="4"/>
      <c r="X8" s="32" t="s">
        <v>37</v>
      </c>
      <c r="Y8" s="33"/>
      <c r="Z8" s="33"/>
      <c r="AA8" s="33"/>
      <c r="AB8" s="33"/>
      <c r="AC8" s="33"/>
      <c r="AD8" s="33"/>
      <c r="AE8" s="33"/>
      <c r="AF8" s="33"/>
      <c r="AG8" s="34"/>
    </row>
    <row r="9" spans="1:33" ht="23" customHeight="1">
      <c r="F9" s="28" t="s">
        <v>91</v>
      </c>
      <c r="G9" s="28"/>
      <c r="H9" s="28"/>
      <c r="I9" s="28"/>
      <c r="J9" s="29" t="s">
        <v>92</v>
      </c>
      <c r="K9" s="29"/>
      <c r="L9" s="29"/>
      <c r="M9" s="29"/>
      <c r="N9" s="11"/>
      <c r="O9" s="28" t="s">
        <v>93</v>
      </c>
      <c r="P9" s="28"/>
      <c r="Q9" s="28"/>
      <c r="R9" s="29" t="s">
        <v>94</v>
      </c>
      <c r="S9" s="29"/>
      <c r="T9" s="29"/>
      <c r="U9" s="29"/>
      <c r="X9" s="24" t="s">
        <v>25</v>
      </c>
      <c r="Y9" s="25"/>
      <c r="Z9" s="25"/>
      <c r="AA9" s="25"/>
      <c r="AB9" s="25"/>
      <c r="AC9" s="25"/>
      <c r="AD9" s="25"/>
      <c r="AE9" s="25"/>
      <c r="AF9" s="25"/>
      <c r="AG9" s="35"/>
    </row>
    <row r="10" spans="1:33" ht="16" customHeight="1" thickBot="1">
      <c r="F10" s="28"/>
      <c r="G10" s="28"/>
      <c r="H10" s="28"/>
      <c r="I10" s="28"/>
      <c r="J10" s="29"/>
      <c r="K10" s="29"/>
      <c r="L10" s="29"/>
      <c r="M10" s="29"/>
      <c r="N10" s="11"/>
      <c r="O10" s="28"/>
      <c r="P10" s="28"/>
      <c r="Q10" s="28"/>
      <c r="R10" s="29"/>
      <c r="S10" s="29"/>
      <c r="T10" s="29"/>
      <c r="U10" s="29"/>
      <c r="X10" s="36" t="s">
        <v>32</v>
      </c>
      <c r="Y10" s="26"/>
      <c r="Z10" s="26" t="s">
        <v>33</v>
      </c>
      <c r="AA10" s="26"/>
      <c r="AB10" s="26" t="s">
        <v>34</v>
      </c>
      <c r="AC10" s="26"/>
      <c r="AD10" s="26" t="s">
        <v>35</v>
      </c>
      <c r="AE10" s="26"/>
      <c r="AF10" s="26" t="s">
        <v>36</v>
      </c>
      <c r="AG10" s="27"/>
    </row>
    <row r="11" spans="1:33" s="3" customFormat="1" ht="17" thickBot="1">
      <c r="A11" s="31" t="s">
        <v>27</v>
      </c>
      <c r="B11" s="2" t="s">
        <v>1</v>
      </c>
      <c r="C11" s="2" t="s">
        <v>26</v>
      </c>
      <c r="D11" s="2" t="s">
        <v>20</v>
      </c>
      <c r="E11" s="2"/>
      <c r="F11" s="2" t="s">
        <v>22</v>
      </c>
      <c r="G11" s="2" t="s">
        <v>23</v>
      </c>
      <c r="H11" s="2" t="s">
        <v>24</v>
      </c>
      <c r="I11" s="12" t="s">
        <v>90</v>
      </c>
      <c r="J11" s="2" t="s">
        <v>22</v>
      </c>
      <c r="K11" s="2" t="s">
        <v>23</v>
      </c>
      <c r="L11" s="2" t="s">
        <v>24</v>
      </c>
      <c r="M11" s="12" t="s">
        <v>31</v>
      </c>
      <c r="N11" s="2"/>
      <c r="O11" s="2" t="s">
        <v>22</v>
      </c>
      <c r="P11" s="2" t="s">
        <v>23</v>
      </c>
      <c r="Q11" s="2" t="s">
        <v>24</v>
      </c>
      <c r="R11" s="2" t="s">
        <v>22</v>
      </c>
      <c r="S11" s="2" t="s">
        <v>23</v>
      </c>
      <c r="T11" s="2" t="s">
        <v>24</v>
      </c>
      <c r="U11" s="12" t="s">
        <v>31</v>
      </c>
      <c r="W11" s="50" t="s">
        <v>89</v>
      </c>
      <c r="X11" s="21" t="s">
        <v>87</v>
      </c>
      <c r="Y11" s="45" t="s">
        <v>40</v>
      </c>
      <c r="Z11" s="21" t="s">
        <v>87</v>
      </c>
      <c r="AA11" s="45" t="s">
        <v>40</v>
      </c>
      <c r="AB11" s="21" t="s">
        <v>87</v>
      </c>
      <c r="AC11" s="45" t="s">
        <v>40</v>
      </c>
      <c r="AD11" s="21" t="s">
        <v>87</v>
      </c>
      <c r="AE11" s="45" t="s">
        <v>40</v>
      </c>
      <c r="AF11" s="21" t="s">
        <v>87</v>
      </c>
      <c r="AG11" s="22" t="s">
        <v>40</v>
      </c>
    </row>
    <row r="12" spans="1:33" s="3" customFormat="1" ht="17" thickTop="1">
      <c r="A12" s="31"/>
      <c r="B12" s="3" t="s">
        <v>8</v>
      </c>
      <c r="C12" s="8">
        <v>160</v>
      </c>
      <c r="D12" s="5">
        <v>0.65</v>
      </c>
      <c r="E12" s="5"/>
      <c r="F12" s="7">
        <v>4.4999999999999998E-2</v>
      </c>
      <c r="G12" s="7">
        <v>3.5000000000000003E-2</v>
      </c>
      <c r="H12" s="7">
        <v>0.02</v>
      </c>
      <c r="I12" s="51">
        <f>SUM(F12:H12)</f>
        <v>0.1</v>
      </c>
      <c r="J12" s="8">
        <v>6.4</v>
      </c>
      <c r="K12" s="8">
        <v>4.8</v>
      </c>
      <c r="L12" s="8">
        <v>4.8</v>
      </c>
      <c r="M12" s="9">
        <f>SUM(J12:L12)</f>
        <v>16</v>
      </c>
      <c r="N12" s="8"/>
      <c r="O12" s="7">
        <v>0.02</v>
      </c>
      <c r="P12" s="7">
        <v>2.5000000000000001E-2</v>
      </c>
      <c r="Q12" s="7">
        <v>1.6E-2</v>
      </c>
      <c r="R12" s="8">
        <v>2.9</v>
      </c>
      <c r="S12" s="8">
        <v>3.4</v>
      </c>
      <c r="T12" s="8">
        <v>3.8</v>
      </c>
      <c r="U12" s="9">
        <f>SUM(R12:T12)</f>
        <v>10.1</v>
      </c>
      <c r="W12" s="49" t="s">
        <v>8</v>
      </c>
      <c r="X12" s="15">
        <f>M12*$C$28</f>
        <v>32000</v>
      </c>
      <c r="Y12" s="46">
        <f>U12*$C$28</f>
        <v>20200</v>
      </c>
      <c r="Z12" s="15">
        <f>M12*$C$29</f>
        <v>64000</v>
      </c>
      <c r="AA12" s="46">
        <f>U12*$C$29</f>
        <v>40400</v>
      </c>
      <c r="AB12" s="15">
        <f>M12*$C$30</f>
        <v>96000</v>
      </c>
      <c r="AC12" s="46">
        <f>U12*$C$30</f>
        <v>60600</v>
      </c>
      <c r="AD12" s="15">
        <f>M12*$C$31</f>
        <v>128000</v>
      </c>
      <c r="AE12" s="46">
        <f>U12*$C$31</f>
        <v>80800</v>
      </c>
      <c r="AF12" s="15">
        <f>M12*$C$32</f>
        <v>140160</v>
      </c>
      <c r="AG12" s="16">
        <f>U12*$C$32</f>
        <v>88476</v>
      </c>
    </row>
    <row r="13" spans="1:33" s="3" customFormat="1">
      <c r="A13" s="31"/>
      <c r="B13" s="3" t="s">
        <v>2</v>
      </c>
      <c r="C13" s="8">
        <v>45</v>
      </c>
      <c r="D13" s="5">
        <v>0.55000000000000004</v>
      </c>
      <c r="E13" s="5"/>
      <c r="F13" s="7">
        <v>5.6000000000000001E-2</v>
      </c>
      <c r="G13" s="7">
        <v>3.3000000000000002E-2</v>
      </c>
      <c r="H13" s="7">
        <v>2.5000000000000001E-2</v>
      </c>
      <c r="I13" s="51">
        <f t="shared" ref="I13:I24" si="0">SUM(F13:H13)</f>
        <v>0.11399999999999999</v>
      </c>
      <c r="J13" s="8">
        <v>2.7</v>
      </c>
      <c r="K13" s="8">
        <v>1.9</v>
      </c>
      <c r="L13" s="8">
        <v>1</v>
      </c>
      <c r="M13" s="9">
        <f t="shared" ref="M13:M24" si="1">SUM(J13:L13)</f>
        <v>5.6</v>
      </c>
      <c r="N13" s="8"/>
      <c r="O13" s="7">
        <v>2.5000000000000001E-2</v>
      </c>
      <c r="P13" s="7">
        <v>3.1E-2</v>
      </c>
      <c r="Q13" s="7">
        <v>0.02</v>
      </c>
      <c r="R13" s="8">
        <v>1.2</v>
      </c>
      <c r="S13" s="8">
        <v>1.3</v>
      </c>
      <c r="T13" s="8">
        <v>0.8</v>
      </c>
      <c r="U13" s="9">
        <f t="shared" ref="U13:U24" si="2">SUM(R13:T13)</f>
        <v>3.3</v>
      </c>
      <c r="W13" s="13" t="s">
        <v>2</v>
      </c>
      <c r="X13" s="17">
        <f>M13*$C$28</f>
        <v>11200</v>
      </c>
      <c r="Y13" s="47">
        <f>U13*$C$28</f>
        <v>6600</v>
      </c>
      <c r="Z13" s="17">
        <f>M13*$C$29</f>
        <v>22400</v>
      </c>
      <c r="AA13" s="47">
        <f>U13*$C$29</f>
        <v>13200</v>
      </c>
      <c r="AB13" s="17">
        <f>M13*$C$30</f>
        <v>33600</v>
      </c>
      <c r="AC13" s="47">
        <f>U13*$C$30</f>
        <v>19800</v>
      </c>
      <c r="AD13" s="17">
        <f>M13*$C$31</f>
        <v>44800</v>
      </c>
      <c r="AE13" s="47">
        <f>U13*$C$31</f>
        <v>26400</v>
      </c>
      <c r="AF13" s="17">
        <f>M13*$C$32</f>
        <v>49056</v>
      </c>
      <c r="AG13" s="18">
        <f>U13*$C$32</f>
        <v>28908</v>
      </c>
    </row>
    <row r="14" spans="1:33" s="3" customFormat="1">
      <c r="A14" s="31"/>
      <c r="B14" s="3" t="s">
        <v>3</v>
      </c>
      <c r="C14" s="8">
        <v>70</v>
      </c>
      <c r="D14" s="5">
        <v>0.6</v>
      </c>
      <c r="E14" s="5"/>
      <c r="F14" s="7">
        <v>7.9000000000000001E-2</v>
      </c>
      <c r="G14" s="7">
        <v>6.0999999999999999E-2</v>
      </c>
      <c r="H14" s="7">
        <v>3.5000000000000003E-2</v>
      </c>
      <c r="I14" s="51">
        <f t="shared" si="0"/>
        <v>0.17500000000000002</v>
      </c>
      <c r="J14" s="8">
        <v>5.6</v>
      </c>
      <c r="K14" s="8">
        <v>4.2</v>
      </c>
      <c r="L14" s="8">
        <v>2.5</v>
      </c>
      <c r="M14" s="9">
        <f t="shared" si="1"/>
        <v>12.3</v>
      </c>
      <c r="N14" s="8"/>
      <c r="O14" s="7">
        <v>3.5999999999999997E-2</v>
      </c>
      <c r="P14" s="7">
        <v>4.2999999999999997E-2</v>
      </c>
      <c r="Q14" s="7">
        <v>2.8000000000000001E-2</v>
      </c>
      <c r="R14" s="8">
        <v>2.5</v>
      </c>
      <c r="S14" s="8">
        <v>2.9</v>
      </c>
      <c r="T14" s="8">
        <v>2</v>
      </c>
      <c r="U14" s="9">
        <f t="shared" si="2"/>
        <v>7.4</v>
      </c>
      <c r="W14" s="13" t="s">
        <v>3</v>
      </c>
      <c r="X14" s="17">
        <f>M14*$C$28</f>
        <v>24600</v>
      </c>
      <c r="Y14" s="47">
        <f>U14*$C$28</f>
        <v>14800</v>
      </c>
      <c r="Z14" s="17">
        <f>M14*$C$29</f>
        <v>49200</v>
      </c>
      <c r="AA14" s="47">
        <f>U14*$C$29</f>
        <v>29600</v>
      </c>
      <c r="AB14" s="17">
        <f>M14*$C$30</f>
        <v>73800</v>
      </c>
      <c r="AC14" s="47">
        <f>U14*$C$30</f>
        <v>44400</v>
      </c>
      <c r="AD14" s="17">
        <f>M14*$C$31</f>
        <v>98400</v>
      </c>
      <c r="AE14" s="47">
        <f>U14*$C$31</f>
        <v>59200</v>
      </c>
      <c r="AF14" s="17">
        <f>M14*$C$32</f>
        <v>107748</v>
      </c>
      <c r="AG14" s="18">
        <f>U14*$C$32</f>
        <v>64824</v>
      </c>
    </row>
    <row r="15" spans="1:33" s="3" customFormat="1">
      <c r="A15" s="31"/>
      <c r="B15" s="3" t="s">
        <v>4</v>
      </c>
      <c r="C15" s="8">
        <v>35</v>
      </c>
      <c r="D15" s="5">
        <v>0.6</v>
      </c>
      <c r="E15" s="5"/>
      <c r="F15" s="7">
        <v>5.0999999999999997E-2</v>
      </c>
      <c r="G15" s="7">
        <v>4.3999999999999997E-2</v>
      </c>
      <c r="H15" s="7">
        <v>2.5000000000000001E-2</v>
      </c>
      <c r="I15" s="51">
        <f t="shared" si="0"/>
        <v>0.12</v>
      </c>
      <c r="J15" s="8">
        <v>1.8</v>
      </c>
      <c r="K15" s="8">
        <v>1.6</v>
      </c>
      <c r="L15" s="8">
        <v>1</v>
      </c>
      <c r="M15" s="9">
        <f t="shared" si="1"/>
        <v>4.4000000000000004</v>
      </c>
      <c r="N15" s="8"/>
      <c r="O15" s="7">
        <v>2.3E-2</v>
      </c>
      <c r="P15" s="7">
        <v>3.1E-2</v>
      </c>
      <c r="Q15" s="7">
        <v>0.02</v>
      </c>
      <c r="R15" s="8">
        <v>0.8</v>
      </c>
      <c r="S15" s="8">
        <v>1.1000000000000001</v>
      </c>
      <c r="T15" s="8">
        <v>0.8</v>
      </c>
      <c r="U15" s="9">
        <f t="shared" si="2"/>
        <v>2.7</v>
      </c>
      <c r="W15" s="13" t="s">
        <v>4</v>
      </c>
      <c r="X15" s="17">
        <f>M15*$C$28</f>
        <v>8800</v>
      </c>
      <c r="Y15" s="47">
        <f>U15*$C$28</f>
        <v>5400</v>
      </c>
      <c r="Z15" s="17">
        <f>M15*$C$29</f>
        <v>17600</v>
      </c>
      <c r="AA15" s="47">
        <f>U15*$C$29</f>
        <v>10800</v>
      </c>
      <c r="AB15" s="17">
        <f>M15*$C$30</f>
        <v>26400.000000000004</v>
      </c>
      <c r="AC15" s="47">
        <f>U15*$C$30</f>
        <v>16200.000000000002</v>
      </c>
      <c r="AD15" s="17">
        <f>M15*$C$31</f>
        <v>35200</v>
      </c>
      <c r="AE15" s="47">
        <f>U15*$C$31</f>
        <v>21600</v>
      </c>
      <c r="AF15" s="17">
        <f>M15*$C$32</f>
        <v>38544</v>
      </c>
      <c r="AG15" s="18">
        <f>U15*$C$32</f>
        <v>23652</v>
      </c>
    </row>
    <row r="16" spans="1:33" s="3" customFormat="1">
      <c r="A16" s="31"/>
      <c r="B16" s="3" t="s">
        <v>5</v>
      </c>
      <c r="C16" s="8">
        <v>40</v>
      </c>
      <c r="D16" s="5">
        <v>0.6</v>
      </c>
      <c r="E16" s="5"/>
      <c r="F16" s="7">
        <v>6.8000000000000005E-2</v>
      </c>
      <c r="G16" s="7">
        <v>5.2999999999999999E-2</v>
      </c>
      <c r="H16" s="7">
        <v>0.04</v>
      </c>
      <c r="I16" s="51">
        <f t="shared" si="0"/>
        <v>0.161</v>
      </c>
      <c r="J16" s="8">
        <v>2.4</v>
      </c>
      <c r="K16" s="8">
        <v>2</v>
      </c>
      <c r="L16" s="8">
        <v>1.6</v>
      </c>
      <c r="M16" s="9">
        <f t="shared" si="1"/>
        <v>6</v>
      </c>
      <c r="N16" s="8"/>
      <c r="O16" s="7">
        <v>3.1E-2</v>
      </c>
      <c r="P16" s="7">
        <v>3.6999999999999998E-2</v>
      </c>
      <c r="Q16" s="7">
        <v>3.2000000000000001E-2</v>
      </c>
      <c r="R16" s="8">
        <v>1.1000000000000001</v>
      </c>
      <c r="S16" s="8">
        <v>1.4</v>
      </c>
      <c r="T16" s="8">
        <v>1.3</v>
      </c>
      <c r="U16" s="9">
        <f t="shared" si="2"/>
        <v>3.8</v>
      </c>
      <c r="W16" s="13" t="s">
        <v>5</v>
      </c>
      <c r="X16" s="17">
        <f>M16*$C$28</f>
        <v>12000</v>
      </c>
      <c r="Y16" s="47">
        <f>U16*$C$28</f>
        <v>7600</v>
      </c>
      <c r="Z16" s="17">
        <f>M16*$C$29</f>
        <v>24000</v>
      </c>
      <c r="AA16" s="47">
        <f>U16*$C$29</f>
        <v>15200</v>
      </c>
      <c r="AB16" s="17">
        <f>M16*$C$30</f>
        <v>36000</v>
      </c>
      <c r="AC16" s="47">
        <f>U16*$C$30</f>
        <v>22800</v>
      </c>
      <c r="AD16" s="17">
        <f>M16*$C$31</f>
        <v>48000</v>
      </c>
      <c r="AE16" s="47">
        <f>U16*$C$31</f>
        <v>30400</v>
      </c>
      <c r="AF16" s="17">
        <f>M16*$C$32</f>
        <v>52560</v>
      </c>
      <c r="AG16" s="18">
        <f>U16*$C$32</f>
        <v>33288</v>
      </c>
    </row>
    <row r="17" spans="1:33" s="3" customFormat="1">
      <c r="A17" s="31"/>
      <c r="B17" s="3" t="s">
        <v>6</v>
      </c>
      <c r="C17" s="8">
        <v>80</v>
      </c>
      <c r="D17" s="5">
        <v>0.7</v>
      </c>
      <c r="E17" s="5"/>
      <c r="F17" s="7">
        <v>0.05</v>
      </c>
      <c r="G17" s="7">
        <v>3.7999999999999999E-2</v>
      </c>
      <c r="H17" s="7">
        <v>3.7999999999999999E-2</v>
      </c>
      <c r="I17" s="51">
        <f t="shared" si="0"/>
        <v>0.126</v>
      </c>
      <c r="J17" s="8">
        <f>$C17*F17</f>
        <v>4</v>
      </c>
      <c r="K17" s="8">
        <v>3</v>
      </c>
      <c r="L17" s="8">
        <v>3</v>
      </c>
      <c r="M17" s="9">
        <f t="shared" si="1"/>
        <v>10</v>
      </c>
      <c r="N17" s="8"/>
      <c r="O17" s="7">
        <v>2.3E-2</v>
      </c>
      <c r="P17" s="7">
        <v>2.5999999999999999E-2</v>
      </c>
      <c r="Q17" s="7">
        <v>0.03</v>
      </c>
      <c r="R17" s="8">
        <v>1.8</v>
      </c>
      <c r="S17" s="8">
        <v>2.1</v>
      </c>
      <c r="T17" s="8">
        <f t="shared" ref="T17:T21" si="3">$C17*Q17</f>
        <v>2.4</v>
      </c>
      <c r="U17" s="9">
        <f t="shared" si="2"/>
        <v>6.3000000000000007</v>
      </c>
      <c r="W17" s="13" t="s">
        <v>6</v>
      </c>
      <c r="X17" s="17">
        <f>M17*$C$28</f>
        <v>20000</v>
      </c>
      <c r="Y17" s="47">
        <f>U17*$C$28</f>
        <v>12600.000000000002</v>
      </c>
      <c r="Z17" s="17">
        <f>M17*$C$29</f>
        <v>40000</v>
      </c>
      <c r="AA17" s="47">
        <f>U17*$C$29</f>
        <v>25200.000000000004</v>
      </c>
      <c r="AB17" s="17">
        <f>M17*$C$30</f>
        <v>60000</v>
      </c>
      <c r="AC17" s="47">
        <f>U17*$C$30</f>
        <v>37800.000000000007</v>
      </c>
      <c r="AD17" s="17">
        <f>M17*$C$31</f>
        <v>80000</v>
      </c>
      <c r="AE17" s="47">
        <f>U17*$C$31</f>
        <v>50400.000000000007</v>
      </c>
      <c r="AF17" s="17">
        <f>M17*$C$32</f>
        <v>87600</v>
      </c>
      <c r="AG17" s="18">
        <f>U17*$C$32</f>
        <v>55188.000000000007</v>
      </c>
    </row>
    <row r="18" spans="1:33" s="3" customFormat="1">
      <c r="A18" s="31"/>
      <c r="B18" s="3" t="s">
        <v>7</v>
      </c>
      <c r="C18" s="8">
        <v>110</v>
      </c>
      <c r="D18" s="5">
        <v>0.7</v>
      </c>
      <c r="E18" s="5"/>
      <c r="F18" s="7">
        <v>4.1000000000000002E-2</v>
      </c>
      <c r="G18" s="7">
        <v>2.7E-2</v>
      </c>
      <c r="H18" s="7">
        <v>2.3E-2</v>
      </c>
      <c r="I18" s="51">
        <f t="shared" si="0"/>
        <v>9.0999999999999998E-2</v>
      </c>
      <c r="J18" s="8">
        <v>5</v>
      </c>
      <c r="K18" s="8">
        <v>3.3</v>
      </c>
      <c r="L18" s="8">
        <v>2.7</v>
      </c>
      <c r="M18" s="9">
        <f t="shared" si="1"/>
        <v>11</v>
      </c>
      <c r="N18" s="8"/>
      <c r="O18" s="7">
        <v>1.7999999999999999E-2</v>
      </c>
      <c r="P18" s="7">
        <v>1.9E-2</v>
      </c>
      <c r="Q18" s="7">
        <v>1.7999999999999999E-2</v>
      </c>
      <c r="R18" s="8">
        <v>2.2999999999999998</v>
      </c>
      <c r="S18" s="8">
        <v>2.2999999999999998</v>
      </c>
      <c r="T18" s="8">
        <v>2.2000000000000002</v>
      </c>
      <c r="U18" s="9">
        <f t="shared" si="2"/>
        <v>6.8</v>
      </c>
      <c r="W18" s="13" t="s">
        <v>7</v>
      </c>
      <c r="X18" s="17">
        <f>M18*$C$28</f>
        <v>22000</v>
      </c>
      <c r="Y18" s="47">
        <f>U18*$C$28</f>
        <v>13600</v>
      </c>
      <c r="Z18" s="17">
        <f>M18*$C$29</f>
        <v>44000</v>
      </c>
      <c r="AA18" s="47">
        <f>U18*$C$29</f>
        <v>27200</v>
      </c>
      <c r="AB18" s="17">
        <f>M18*$C$30</f>
        <v>66000</v>
      </c>
      <c r="AC18" s="47">
        <f>U18*$C$30</f>
        <v>40800</v>
      </c>
      <c r="AD18" s="17">
        <f>M18*$C$31</f>
        <v>88000</v>
      </c>
      <c r="AE18" s="47">
        <f>U18*$C$31</f>
        <v>54400</v>
      </c>
      <c r="AF18" s="17">
        <f>M18*$C$32</f>
        <v>96360</v>
      </c>
      <c r="AG18" s="18">
        <f>U18*$C$32</f>
        <v>59568</v>
      </c>
    </row>
    <row r="19" spans="1:33" s="3" customFormat="1">
      <c r="A19" s="31"/>
      <c r="B19" s="3" t="s">
        <v>9</v>
      </c>
      <c r="C19" s="8">
        <v>70</v>
      </c>
      <c r="D19" s="5">
        <v>0.6</v>
      </c>
      <c r="E19" s="5"/>
      <c r="F19" s="7">
        <v>0.06</v>
      </c>
      <c r="G19" s="7">
        <v>4.4999999999999998E-2</v>
      </c>
      <c r="H19" s="7">
        <v>4.4999999999999998E-2</v>
      </c>
      <c r="I19" s="51">
        <f t="shared" si="0"/>
        <v>0.15</v>
      </c>
      <c r="J19" s="8">
        <f>$C19*F19</f>
        <v>4.2</v>
      </c>
      <c r="K19" s="8">
        <v>3.2</v>
      </c>
      <c r="L19" s="8">
        <v>3.1</v>
      </c>
      <c r="M19" s="9">
        <f t="shared" si="1"/>
        <v>10.5</v>
      </c>
      <c r="N19" s="8"/>
      <c r="O19" s="7">
        <v>2.7E-2</v>
      </c>
      <c r="P19" s="7">
        <v>3.2000000000000001E-2</v>
      </c>
      <c r="Q19" s="7">
        <v>3.5999999999999997E-2</v>
      </c>
      <c r="R19" s="8">
        <v>1.9</v>
      </c>
      <c r="S19" s="8">
        <v>2.2000000000000002</v>
      </c>
      <c r="T19" s="8">
        <v>2.5</v>
      </c>
      <c r="U19" s="9">
        <f t="shared" si="2"/>
        <v>6.6</v>
      </c>
      <c r="W19" s="13" t="s">
        <v>9</v>
      </c>
      <c r="X19" s="17">
        <f>M19*$C$28</f>
        <v>21000</v>
      </c>
      <c r="Y19" s="47">
        <f>U19*$C$28</f>
        <v>13200</v>
      </c>
      <c r="Z19" s="17">
        <f>M19*$C$29</f>
        <v>42000</v>
      </c>
      <c r="AA19" s="47">
        <f>U19*$C$29</f>
        <v>26400</v>
      </c>
      <c r="AB19" s="17">
        <f>M19*$C$30</f>
        <v>63000</v>
      </c>
      <c r="AC19" s="47">
        <f>U19*$C$30</f>
        <v>39600</v>
      </c>
      <c r="AD19" s="17">
        <f>M19*$C$31</f>
        <v>84000</v>
      </c>
      <c r="AE19" s="47">
        <f>U19*$C$31</f>
        <v>52800</v>
      </c>
      <c r="AF19" s="17">
        <f>M19*$C$32</f>
        <v>91980</v>
      </c>
      <c r="AG19" s="18">
        <f>U19*$C$32</f>
        <v>57816</v>
      </c>
    </row>
    <row r="20" spans="1:33" s="3" customFormat="1">
      <c r="A20" s="31"/>
      <c r="B20" s="3" t="s">
        <v>10</v>
      </c>
      <c r="C20" s="8">
        <v>75</v>
      </c>
      <c r="D20" s="5">
        <v>0.6</v>
      </c>
      <c r="E20" s="5"/>
      <c r="F20" s="7">
        <v>8.7999999999999995E-2</v>
      </c>
      <c r="G20" s="7">
        <v>7.0000000000000007E-2</v>
      </c>
      <c r="H20" s="7">
        <v>1.7999999999999999E-2</v>
      </c>
      <c r="I20" s="51">
        <f t="shared" si="0"/>
        <v>0.17599999999999999</v>
      </c>
      <c r="J20" s="8">
        <f>$C20*F20</f>
        <v>6.6</v>
      </c>
      <c r="K20" s="8">
        <v>5.3</v>
      </c>
      <c r="L20" s="8">
        <v>1.2</v>
      </c>
      <c r="M20" s="9">
        <f t="shared" si="1"/>
        <v>13.099999999999998</v>
      </c>
      <c r="N20" s="8"/>
      <c r="O20" s="7">
        <v>0.04</v>
      </c>
      <c r="P20" s="7">
        <v>4.9000000000000002E-2</v>
      </c>
      <c r="Q20" s="7">
        <v>1.4E-2</v>
      </c>
      <c r="R20" s="8">
        <f>C20*O20</f>
        <v>3</v>
      </c>
      <c r="S20" s="8">
        <v>3.7</v>
      </c>
      <c r="T20" s="8">
        <v>1</v>
      </c>
      <c r="U20" s="9">
        <f t="shared" si="2"/>
        <v>7.7</v>
      </c>
      <c r="W20" s="13" t="s">
        <v>10</v>
      </c>
      <c r="X20" s="17">
        <f>M20*$C$28</f>
        <v>26199.999999999996</v>
      </c>
      <c r="Y20" s="47">
        <f>U20*$C$28</f>
        <v>15400</v>
      </c>
      <c r="Z20" s="17">
        <f>M20*$C$29</f>
        <v>52399.999999999993</v>
      </c>
      <c r="AA20" s="47">
        <f>U20*$C$29</f>
        <v>30800</v>
      </c>
      <c r="AB20" s="17">
        <f>M20*$C$30</f>
        <v>78599.999999999985</v>
      </c>
      <c r="AC20" s="47">
        <f>U20*$C$30</f>
        <v>46200</v>
      </c>
      <c r="AD20" s="17">
        <f>M20*$C$31</f>
        <v>104799.99999999999</v>
      </c>
      <c r="AE20" s="47">
        <f>U20*$C$31</f>
        <v>61600</v>
      </c>
      <c r="AF20" s="17">
        <f>M20*$C$32</f>
        <v>114755.99999999999</v>
      </c>
      <c r="AG20" s="18">
        <f>U20*$C$32</f>
        <v>67452</v>
      </c>
    </row>
    <row r="21" spans="1:33" s="3" customFormat="1">
      <c r="A21" s="31"/>
      <c r="B21" s="3" t="s">
        <v>11</v>
      </c>
      <c r="C21" s="8">
        <v>85</v>
      </c>
      <c r="D21" s="5">
        <v>0.55000000000000004</v>
      </c>
      <c r="E21" s="5"/>
      <c r="F21" s="7">
        <v>0.1</v>
      </c>
      <c r="G21" s="7">
        <v>9.0999999999999998E-2</v>
      </c>
      <c r="H21" s="7">
        <v>3.4000000000000002E-2</v>
      </c>
      <c r="I21" s="51">
        <f t="shared" si="0"/>
        <v>0.22500000000000001</v>
      </c>
      <c r="J21" s="8">
        <f>$C21*F21</f>
        <v>8.5</v>
      </c>
      <c r="K21" s="8">
        <v>7.7</v>
      </c>
      <c r="L21" s="8">
        <v>2.9</v>
      </c>
      <c r="M21" s="9">
        <f t="shared" si="1"/>
        <v>19.099999999999998</v>
      </c>
      <c r="N21" s="8"/>
      <c r="O21" s="7">
        <v>4.4999999999999998E-2</v>
      </c>
      <c r="P21" s="7">
        <v>6.4000000000000001E-2</v>
      </c>
      <c r="Q21" s="7">
        <v>2.7E-2</v>
      </c>
      <c r="R21" s="8">
        <v>3.8</v>
      </c>
      <c r="S21" s="8">
        <v>5.4</v>
      </c>
      <c r="T21" s="8">
        <f t="shared" si="3"/>
        <v>2.2949999999999999</v>
      </c>
      <c r="U21" s="9">
        <f t="shared" si="2"/>
        <v>11.494999999999999</v>
      </c>
      <c r="W21" s="13" t="s">
        <v>11</v>
      </c>
      <c r="X21" s="17">
        <f>M21*$C$28</f>
        <v>38199.999999999993</v>
      </c>
      <c r="Y21" s="47">
        <f>U21*$C$28</f>
        <v>22990</v>
      </c>
      <c r="Z21" s="17">
        <f>M21*$C$29</f>
        <v>76399.999999999985</v>
      </c>
      <c r="AA21" s="47">
        <f>U21*$C$29</f>
        <v>45980</v>
      </c>
      <c r="AB21" s="17">
        <f>M21*$C$30</f>
        <v>114599.99999999999</v>
      </c>
      <c r="AC21" s="47">
        <f>U21*$C$30</f>
        <v>68970</v>
      </c>
      <c r="AD21" s="17">
        <f>M21*$C$31</f>
        <v>152799.99999999997</v>
      </c>
      <c r="AE21" s="47">
        <f>U21*$C$31</f>
        <v>91960</v>
      </c>
      <c r="AF21" s="17">
        <f>M21*$C$32</f>
        <v>167315.99999999997</v>
      </c>
      <c r="AG21" s="18">
        <f>U21*$C$32</f>
        <v>100696.2</v>
      </c>
    </row>
    <row r="22" spans="1:33" s="3" customFormat="1">
      <c r="A22" s="31"/>
      <c r="B22" s="3" t="s">
        <v>21</v>
      </c>
      <c r="C22" s="8">
        <v>90</v>
      </c>
      <c r="D22" s="5">
        <v>0.7</v>
      </c>
      <c r="E22" s="5"/>
      <c r="F22" s="7">
        <v>0.06</v>
      </c>
      <c r="G22" s="7">
        <v>4.4999999999999998E-2</v>
      </c>
      <c r="H22" s="7">
        <v>4.4999999999999998E-2</v>
      </c>
      <c r="I22" s="51">
        <f t="shared" si="0"/>
        <v>0.15</v>
      </c>
      <c r="J22" s="8">
        <f>$C22*F22</f>
        <v>5.3999999999999995</v>
      </c>
      <c r="K22" s="8">
        <v>4.0999999999999996</v>
      </c>
      <c r="L22" s="8">
        <v>4</v>
      </c>
      <c r="M22" s="9">
        <f t="shared" si="1"/>
        <v>13.5</v>
      </c>
      <c r="N22" s="8"/>
      <c r="O22" s="7">
        <v>2.7E-2</v>
      </c>
      <c r="P22" s="7">
        <v>3.2000000000000001E-2</v>
      </c>
      <c r="Q22" s="7">
        <v>3.5999999999999997E-2</v>
      </c>
      <c r="R22" s="8">
        <v>2.4</v>
      </c>
      <c r="S22" s="8">
        <v>2.9</v>
      </c>
      <c r="T22" s="8">
        <v>3.2</v>
      </c>
      <c r="U22" s="9">
        <f t="shared" si="2"/>
        <v>8.5</v>
      </c>
      <c r="W22" s="13" t="s">
        <v>21</v>
      </c>
      <c r="X22" s="17">
        <f>M22*$C$28</f>
        <v>27000</v>
      </c>
      <c r="Y22" s="47">
        <f>U22*$C$28</f>
        <v>17000</v>
      </c>
      <c r="Z22" s="17">
        <f>M22*$C$29</f>
        <v>54000</v>
      </c>
      <c r="AA22" s="47">
        <f>U22*$C$29</f>
        <v>34000</v>
      </c>
      <c r="AB22" s="17">
        <f>M22*$C$30</f>
        <v>81000</v>
      </c>
      <c r="AC22" s="47">
        <f>U22*$C$30</f>
        <v>51000</v>
      </c>
      <c r="AD22" s="17">
        <f>M22*$C$31</f>
        <v>108000</v>
      </c>
      <c r="AE22" s="47">
        <f>U22*$C$31</f>
        <v>68000</v>
      </c>
      <c r="AF22" s="17">
        <f>M22*$C$32</f>
        <v>118260</v>
      </c>
      <c r="AG22" s="18">
        <f>U22*$C$32</f>
        <v>74460</v>
      </c>
    </row>
    <row r="23" spans="1:33" s="3" customFormat="1">
      <c r="A23" s="31"/>
      <c r="B23" s="3" t="s">
        <v>12</v>
      </c>
      <c r="C23" s="8">
        <v>95</v>
      </c>
      <c r="D23" s="5">
        <v>0.6</v>
      </c>
      <c r="E23" s="5"/>
      <c r="F23" s="7">
        <v>0.08</v>
      </c>
      <c r="G23" s="7">
        <v>7.3999999999999996E-2</v>
      </c>
      <c r="H23" s="7">
        <v>4.5999999999999999E-2</v>
      </c>
      <c r="I23" s="51">
        <f t="shared" si="0"/>
        <v>0.2</v>
      </c>
      <c r="J23" s="8">
        <f>$C23*F23</f>
        <v>7.6000000000000005</v>
      </c>
      <c r="K23" s="8">
        <v>7.1</v>
      </c>
      <c r="L23" s="8">
        <v>4.3</v>
      </c>
      <c r="M23" s="9">
        <f t="shared" si="1"/>
        <v>19</v>
      </c>
      <c r="N23" s="8"/>
      <c r="O23" s="7">
        <v>3.5999999999999997E-2</v>
      </c>
      <c r="P23" s="7">
        <v>5.1999999999999998E-2</v>
      </c>
      <c r="Q23" s="7">
        <v>3.6999999999999998E-2</v>
      </c>
      <c r="R23" s="8">
        <v>3.4</v>
      </c>
      <c r="S23" s="8">
        <v>5</v>
      </c>
      <c r="T23" s="8">
        <v>3.4</v>
      </c>
      <c r="U23" s="9">
        <f t="shared" si="2"/>
        <v>11.8</v>
      </c>
      <c r="W23" s="13" t="s">
        <v>12</v>
      </c>
      <c r="X23" s="17">
        <f>M23*$C$28</f>
        <v>38000</v>
      </c>
      <c r="Y23" s="47">
        <f>U23*$C$28</f>
        <v>23600</v>
      </c>
      <c r="Z23" s="17">
        <f>M23*$C$29</f>
        <v>76000</v>
      </c>
      <c r="AA23" s="47">
        <f>U23*$C$29</f>
        <v>47200</v>
      </c>
      <c r="AB23" s="17">
        <f>M23*$C$30</f>
        <v>114000</v>
      </c>
      <c r="AC23" s="47">
        <f>U23*$C$30</f>
        <v>70800</v>
      </c>
      <c r="AD23" s="17">
        <f>M23*$C$31</f>
        <v>152000</v>
      </c>
      <c r="AE23" s="47">
        <f>U23*$C$31</f>
        <v>94400</v>
      </c>
      <c r="AF23" s="17">
        <f>M23*$C$32</f>
        <v>166440</v>
      </c>
      <c r="AG23" s="18">
        <f>U23*$C$32</f>
        <v>103368</v>
      </c>
    </row>
    <row r="24" spans="1:33" s="3" customFormat="1" ht="17" thickBot="1">
      <c r="A24" s="31"/>
      <c r="B24" s="3" t="s">
        <v>13</v>
      </c>
      <c r="C24" s="8">
        <v>250</v>
      </c>
      <c r="D24" s="5">
        <v>0.8</v>
      </c>
      <c r="E24" s="5"/>
      <c r="F24" s="7">
        <v>0.03</v>
      </c>
      <c r="G24" s="7">
        <v>1.4999999999999999E-2</v>
      </c>
      <c r="H24" s="7">
        <v>5.0000000000000001E-3</v>
      </c>
      <c r="I24" s="52">
        <f t="shared" si="0"/>
        <v>4.9999999999999996E-2</v>
      </c>
      <c r="J24" s="8">
        <f>$C24*F24</f>
        <v>7.5</v>
      </c>
      <c r="K24" s="8">
        <v>3.8</v>
      </c>
      <c r="L24" s="8">
        <v>1.3</v>
      </c>
      <c r="M24" s="10">
        <f t="shared" si="1"/>
        <v>12.600000000000001</v>
      </c>
      <c r="N24" s="8"/>
      <c r="O24" s="7">
        <v>1.4E-2</v>
      </c>
      <c r="P24" s="7">
        <v>1.0999999999999999E-2</v>
      </c>
      <c r="Q24" s="7">
        <v>4.0000000000000001E-3</v>
      </c>
      <c r="R24" s="8">
        <v>3.4</v>
      </c>
      <c r="S24" s="8">
        <v>2.7</v>
      </c>
      <c r="T24" s="8">
        <v>1</v>
      </c>
      <c r="U24" s="10">
        <f t="shared" si="2"/>
        <v>7.1</v>
      </c>
      <c r="W24" s="14" t="s">
        <v>13</v>
      </c>
      <c r="X24" s="19">
        <f>M24*$C$28</f>
        <v>25200.000000000004</v>
      </c>
      <c r="Y24" s="48">
        <f>U24*$C$28</f>
        <v>14200</v>
      </c>
      <c r="Z24" s="19">
        <f>M24*$C$29</f>
        <v>50400.000000000007</v>
      </c>
      <c r="AA24" s="48">
        <f>U24*$C$29</f>
        <v>28400</v>
      </c>
      <c r="AB24" s="19">
        <f>M24*$C$30</f>
        <v>75600.000000000015</v>
      </c>
      <c r="AC24" s="48">
        <f>U24*$C$30</f>
        <v>42600</v>
      </c>
      <c r="AD24" s="19">
        <f>M24*$C$31</f>
        <v>100800.00000000001</v>
      </c>
      <c r="AE24" s="48">
        <f>U24*$C$31</f>
        <v>56800</v>
      </c>
      <c r="AF24" s="19">
        <f>M24*$C$32</f>
        <v>110376.00000000001</v>
      </c>
      <c r="AG24" s="20">
        <f>U24*$C$32</f>
        <v>62196</v>
      </c>
    </row>
    <row r="25" spans="1:33" s="3" customFormat="1" ht="17" thickBot="1"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33" s="3" customFormat="1">
      <c r="B26" s="37" t="s">
        <v>88</v>
      </c>
      <c r="C26" s="38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33">
      <c r="B27" s="39" t="s">
        <v>0</v>
      </c>
      <c r="C27" s="40" t="s">
        <v>14</v>
      </c>
      <c r="W27" t="s">
        <v>43</v>
      </c>
    </row>
    <row r="28" spans="1:33">
      <c r="B28" s="41">
        <v>1</v>
      </c>
      <c r="C28" s="42">
        <v>2000</v>
      </c>
    </row>
    <row r="29" spans="1:33">
      <c r="B29" s="41">
        <v>2</v>
      </c>
      <c r="C29" s="42">
        <v>4000</v>
      </c>
      <c r="W29" t="s">
        <v>86</v>
      </c>
    </row>
    <row r="30" spans="1:33">
      <c r="B30" s="41">
        <v>3</v>
      </c>
      <c r="C30" s="42">
        <v>6000</v>
      </c>
    </row>
    <row r="31" spans="1:33">
      <c r="B31" s="41">
        <v>4</v>
      </c>
      <c r="C31" s="42">
        <v>8000</v>
      </c>
    </row>
    <row r="32" spans="1:33" ht="17" thickBot="1">
      <c r="B32" s="43">
        <v>5</v>
      </c>
      <c r="C32" s="44">
        <v>8760</v>
      </c>
    </row>
  </sheetData>
  <mergeCells count="14">
    <mergeCell ref="B26:C26"/>
    <mergeCell ref="F9:I10"/>
    <mergeCell ref="J9:M10"/>
    <mergeCell ref="R9:U10"/>
    <mergeCell ref="B2:C2"/>
    <mergeCell ref="A11:A24"/>
    <mergeCell ref="X8:AG8"/>
    <mergeCell ref="X9:AG9"/>
    <mergeCell ref="X10:Y10"/>
    <mergeCell ref="Z10:AA10"/>
    <mergeCell ref="AB10:AC10"/>
    <mergeCell ref="AD10:AE10"/>
    <mergeCell ref="AF10:AG10"/>
    <mergeCell ref="O9:Q10"/>
  </mergeCells>
  <pageMargins left="0.7" right="0.7" top="0.75" bottom="0.75" header="0.3" footer="0.3"/>
  <ignoredErrors>
    <ignoredError sqref="M18 M12:M16 U12:U24" formulaRang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65CA-E7F1-BE4C-8887-016C9897BA9C}">
  <dimension ref="B3:L20"/>
  <sheetViews>
    <sheetView tabSelected="1" topLeftCell="A2" zoomScale="177" workbookViewId="0">
      <selection activeCell="E17" sqref="E17"/>
    </sheetView>
  </sheetViews>
  <sheetFormatPr baseColWidth="10" defaultRowHeight="16"/>
  <cols>
    <col min="2" max="2" width="15.6640625" bestFit="1" customWidth="1"/>
  </cols>
  <sheetData>
    <row r="3" spans="2:12" ht="17" thickBot="1"/>
    <row r="4" spans="2:12" ht="23" thickBot="1">
      <c r="C4" s="32" t="s">
        <v>37</v>
      </c>
      <c r="D4" s="33"/>
      <c r="E4" s="33"/>
      <c r="F4" s="33"/>
      <c r="G4" s="33"/>
      <c r="H4" s="33"/>
      <c r="I4" s="33"/>
      <c r="J4" s="33"/>
      <c r="K4" s="33"/>
      <c r="L4" s="34"/>
    </row>
    <row r="5" spans="2:12">
      <c r="C5" s="24" t="s">
        <v>25</v>
      </c>
      <c r="D5" s="25"/>
      <c r="E5" s="25"/>
      <c r="F5" s="25"/>
      <c r="G5" s="25"/>
      <c r="H5" s="25"/>
      <c r="I5" s="25"/>
      <c r="J5" s="25"/>
      <c r="K5" s="25"/>
      <c r="L5" s="35"/>
    </row>
    <row r="6" spans="2:12" ht="17" thickBot="1">
      <c r="C6" s="36" t="s">
        <v>32</v>
      </c>
      <c r="D6" s="26"/>
      <c r="E6" s="26" t="s">
        <v>33</v>
      </c>
      <c r="F6" s="26"/>
      <c r="G6" s="26" t="s">
        <v>34</v>
      </c>
      <c r="H6" s="26"/>
      <c r="I6" s="26" t="s">
        <v>35</v>
      </c>
      <c r="J6" s="26"/>
      <c r="K6" s="26" t="s">
        <v>36</v>
      </c>
      <c r="L6" s="27"/>
    </row>
    <row r="7" spans="2:12" ht="17" thickBot="1">
      <c r="B7" s="50" t="s">
        <v>89</v>
      </c>
      <c r="C7" s="55" t="s">
        <v>87</v>
      </c>
      <c r="D7" s="56" t="s">
        <v>40</v>
      </c>
      <c r="E7" s="55" t="s">
        <v>87</v>
      </c>
      <c r="F7" s="56" t="s">
        <v>40</v>
      </c>
      <c r="G7" s="55" t="s">
        <v>87</v>
      </c>
      <c r="H7" s="56" t="s">
        <v>40</v>
      </c>
      <c r="I7" s="55" t="s">
        <v>87</v>
      </c>
      <c r="J7" s="56" t="s">
        <v>40</v>
      </c>
      <c r="K7" s="55" t="s">
        <v>87</v>
      </c>
      <c r="L7" s="56" t="s">
        <v>40</v>
      </c>
    </row>
    <row r="8" spans="2:12" ht="17" thickTop="1">
      <c r="B8" s="49" t="s">
        <v>8</v>
      </c>
      <c r="C8" s="53">
        <f>'OEE overzicht'!X12</f>
        <v>32000</v>
      </c>
      <c r="D8" s="57">
        <f>'OEE overzicht'!Y12</f>
        <v>20200</v>
      </c>
      <c r="E8" s="53">
        <f>'OEE overzicht'!Z12</f>
        <v>64000</v>
      </c>
      <c r="F8" s="57">
        <f>'OEE overzicht'!AA12</f>
        <v>40400</v>
      </c>
      <c r="G8" s="53">
        <f>'OEE overzicht'!AB12</f>
        <v>96000</v>
      </c>
      <c r="H8" s="57">
        <f>'OEE overzicht'!AC12</f>
        <v>60600</v>
      </c>
      <c r="I8" s="53">
        <f>'OEE overzicht'!AD12</f>
        <v>128000</v>
      </c>
      <c r="J8" s="57">
        <f>'OEE overzicht'!AE12</f>
        <v>80800</v>
      </c>
      <c r="K8" s="53">
        <f>'OEE overzicht'!AF12</f>
        <v>140160</v>
      </c>
      <c r="L8" s="57">
        <f>'OEE overzicht'!AG12</f>
        <v>88476</v>
      </c>
    </row>
    <row r="9" spans="2:12">
      <c r="B9" s="13" t="s">
        <v>2</v>
      </c>
      <c r="C9" s="53">
        <f>'OEE overzicht'!X13</f>
        <v>11200</v>
      </c>
      <c r="D9" s="57">
        <f>'OEE overzicht'!Y13</f>
        <v>6600</v>
      </c>
      <c r="E9" s="53">
        <f>'OEE overzicht'!Z13</f>
        <v>22400</v>
      </c>
      <c r="F9" s="57">
        <f>'OEE overzicht'!AA13</f>
        <v>13200</v>
      </c>
      <c r="G9" s="53">
        <f>'OEE overzicht'!AB13</f>
        <v>33600</v>
      </c>
      <c r="H9" s="57">
        <f>'OEE overzicht'!AC13</f>
        <v>19800</v>
      </c>
      <c r="I9" s="53">
        <f>'OEE overzicht'!AD13</f>
        <v>44800</v>
      </c>
      <c r="J9" s="57">
        <f>'OEE overzicht'!AE13</f>
        <v>26400</v>
      </c>
      <c r="K9" s="53">
        <f>'OEE overzicht'!AF13</f>
        <v>49056</v>
      </c>
      <c r="L9" s="57">
        <f>'OEE overzicht'!AG13</f>
        <v>28908</v>
      </c>
    </row>
    <row r="10" spans="2:12">
      <c r="B10" s="13" t="s">
        <v>3</v>
      </c>
      <c r="C10" s="53">
        <f>'OEE overzicht'!X14</f>
        <v>24600</v>
      </c>
      <c r="D10" s="57">
        <f>'OEE overzicht'!Y14</f>
        <v>14800</v>
      </c>
      <c r="E10" s="53">
        <f>'OEE overzicht'!Z14</f>
        <v>49200</v>
      </c>
      <c r="F10" s="57">
        <f>'OEE overzicht'!AA14</f>
        <v>29600</v>
      </c>
      <c r="G10" s="53">
        <f>'OEE overzicht'!AB14</f>
        <v>73800</v>
      </c>
      <c r="H10" s="57">
        <f>'OEE overzicht'!AC14</f>
        <v>44400</v>
      </c>
      <c r="I10" s="53">
        <f>'OEE overzicht'!AD14</f>
        <v>98400</v>
      </c>
      <c r="J10" s="57">
        <f>'OEE overzicht'!AE14</f>
        <v>59200</v>
      </c>
      <c r="K10" s="53">
        <f>'OEE overzicht'!AF14</f>
        <v>107748</v>
      </c>
      <c r="L10" s="57">
        <f>'OEE overzicht'!AG14</f>
        <v>64824</v>
      </c>
    </row>
    <row r="11" spans="2:12">
      <c r="B11" s="13" t="s">
        <v>4</v>
      </c>
      <c r="C11" s="53">
        <f>'OEE overzicht'!X15</f>
        <v>8800</v>
      </c>
      <c r="D11" s="57">
        <f>'OEE overzicht'!Y15</f>
        <v>5400</v>
      </c>
      <c r="E11" s="53">
        <f>'OEE overzicht'!Z15</f>
        <v>17600</v>
      </c>
      <c r="F11" s="57">
        <f>'OEE overzicht'!AA15</f>
        <v>10800</v>
      </c>
      <c r="G11" s="53">
        <f>'OEE overzicht'!AB15</f>
        <v>26400.000000000004</v>
      </c>
      <c r="H11" s="57">
        <f>'OEE overzicht'!AC15</f>
        <v>16200.000000000002</v>
      </c>
      <c r="I11" s="53">
        <f>'OEE overzicht'!AD15</f>
        <v>35200</v>
      </c>
      <c r="J11" s="57">
        <f>'OEE overzicht'!AE15</f>
        <v>21600</v>
      </c>
      <c r="K11" s="53">
        <f>'OEE overzicht'!AF15</f>
        <v>38544</v>
      </c>
      <c r="L11" s="57">
        <f>'OEE overzicht'!AG15</f>
        <v>23652</v>
      </c>
    </row>
    <row r="12" spans="2:12">
      <c r="B12" s="13" t="s">
        <v>5</v>
      </c>
      <c r="C12" s="53">
        <f>'OEE overzicht'!X16</f>
        <v>12000</v>
      </c>
      <c r="D12" s="57">
        <f>'OEE overzicht'!Y16</f>
        <v>7600</v>
      </c>
      <c r="E12" s="53">
        <f>'OEE overzicht'!Z16</f>
        <v>24000</v>
      </c>
      <c r="F12" s="57">
        <f>'OEE overzicht'!AA16</f>
        <v>15200</v>
      </c>
      <c r="G12" s="53">
        <f>'OEE overzicht'!AB16</f>
        <v>36000</v>
      </c>
      <c r="H12" s="57">
        <f>'OEE overzicht'!AC16</f>
        <v>22800</v>
      </c>
      <c r="I12" s="53">
        <f>'OEE overzicht'!AD16</f>
        <v>48000</v>
      </c>
      <c r="J12" s="57">
        <f>'OEE overzicht'!AE16</f>
        <v>30400</v>
      </c>
      <c r="K12" s="53">
        <f>'OEE overzicht'!AF16</f>
        <v>52560</v>
      </c>
      <c r="L12" s="57">
        <f>'OEE overzicht'!AG16</f>
        <v>33288</v>
      </c>
    </row>
    <row r="13" spans="2:12">
      <c r="B13" s="13" t="s">
        <v>6</v>
      </c>
      <c r="C13" s="53">
        <f>'OEE overzicht'!X17</f>
        <v>20000</v>
      </c>
      <c r="D13" s="57">
        <f>'OEE overzicht'!Y17</f>
        <v>12600.000000000002</v>
      </c>
      <c r="E13" s="53">
        <f>'OEE overzicht'!Z17</f>
        <v>40000</v>
      </c>
      <c r="F13" s="57">
        <f>'OEE overzicht'!AA17</f>
        <v>25200.000000000004</v>
      </c>
      <c r="G13" s="53">
        <f>'OEE overzicht'!AB17</f>
        <v>60000</v>
      </c>
      <c r="H13" s="57">
        <f>'OEE overzicht'!AC17</f>
        <v>37800.000000000007</v>
      </c>
      <c r="I13" s="53">
        <f>'OEE overzicht'!AD17</f>
        <v>80000</v>
      </c>
      <c r="J13" s="57">
        <f>'OEE overzicht'!AE17</f>
        <v>50400.000000000007</v>
      </c>
      <c r="K13" s="53">
        <f>'OEE overzicht'!AF17</f>
        <v>87600</v>
      </c>
      <c r="L13" s="57">
        <f>'OEE overzicht'!AG17</f>
        <v>55188.000000000007</v>
      </c>
    </row>
    <row r="14" spans="2:12">
      <c r="B14" s="13" t="s">
        <v>7</v>
      </c>
      <c r="C14" s="53">
        <f>'OEE overzicht'!X18</f>
        <v>22000</v>
      </c>
      <c r="D14" s="57">
        <f>'OEE overzicht'!Y18</f>
        <v>13600</v>
      </c>
      <c r="E14" s="53">
        <f>'OEE overzicht'!Z18</f>
        <v>44000</v>
      </c>
      <c r="F14" s="57">
        <f>'OEE overzicht'!AA18</f>
        <v>27200</v>
      </c>
      <c r="G14" s="53">
        <f>'OEE overzicht'!AB18</f>
        <v>66000</v>
      </c>
      <c r="H14" s="57">
        <f>'OEE overzicht'!AC18</f>
        <v>40800</v>
      </c>
      <c r="I14" s="53">
        <f>'OEE overzicht'!AD18</f>
        <v>88000</v>
      </c>
      <c r="J14" s="57">
        <f>'OEE overzicht'!AE18</f>
        <v>54400</v>
      </c>
      <c r="K14" s="53">
        <f>'OEE overzicht'!AF18</f>
        <v>96360</v>
      </c>
      <c r="L14" s="57">
        <f>'OEE overzicht'!AG18</f>
        <v>59568</v>
      </c>
    </row>
    <row r="15" spans="2:12">
      <c r="B15" s="13" t="s">
        <v>9</v>
      </c>
      <c r="C15" s="53">
        <f>'OEE overzicht'!X19</f>
        <v>21000</v>
      </c>
      <c r="D15" s="57">
        <f>'OEE overzicht'!Y19</f>
        <v>13200</v>
      </c>
      <c r="E15" s="53">
        <f>'OEE overzicht'!Z19</f>
        <v>42000</v>
      </c>
      <c r="F15" s="57">
        <f>'OEE overzicht'!AA19</f>
        <v>26400</v>
      </c>
      <c r="G15" s="53">
        <f>'OEE overzicht'!AB19</f>
        <v>63000</v>
      </c>
      <c r="H15" s="57">
        <f>'OEE overzicht'!AC19</f>
        <v>39600</v>
      </c>
      <c r="I15" s="53">
        <f>'OEE overzicht'!AD19</f>
        <v>84000</v>
      </c>
      <c r="J15" s="57">
        <f>'OEE overzicht'!AE19</f>
        <v>52800</v>
      </c>
      <c r="K15" s="53">
        <f>'OEE overzicht'!AF19</f>
        <v>91980</v>
      </c>
      <c r="L15" s="57">
        <f>'OEE overzicht'!AG19</f>
        <v>57816</v>
      </c>
    </row>
    <row r="16" spans="2:12">
      <c r="B16" s="13" t="s">
        <v>10</v>
      </c>
      <c r="C16" s="53">
        <f>'OEE overzicht'!X20</f>
        <v>26199.999999999996</v>
      </c>
      <c r="D16" s="57">
        <f>'OEE overzicht'!Y20</f>
        <v>15400</v>
      </c>
      <c r="E16" s="53">
        <f>'OEE overzicht'!Z20</f>
        <v>52399.999999999993</v>
      </c>
      <c r="F16" s="57">
        <f>'OEE overzicht'!AA20</f>
        <v>30800</v>
      </c>
      <c r="G16" s="53">
        <f>'OEE overzicht'!AB20</f>
        <v>78599.999999999985</v>
      </c>
      <c r="H16" s="57">
        <f>'OEE overzicht'!AC20</f>
        <v>46200</v>
      </c>
      <c r="I16" s="53">
        <f>'OEE overzicht'!AD20</f>
        <v>104799.99999999999</v>
      </c>
      <c r="J16" s="57">
        <f>'OEE overzicht'!AE20</f>
        <v>61600</v>
      </c>
      <c r="K16" s="53">
        <f>'OEE overzicht'!AF20</f>
        <v>114755.99999999999</v>
      </c>
      <c r="L16" s="57">
        <f>'OEE overzicht'!AG20</f>
        <v>67452</v>
      </c>
    </row>
    <row r="17" spans="2:12">
      <c r="B17" s="13" t="s">
        <v>11</v>
      </c>
      <c r="C17" s="53">
        <f>'OEE overzicht'!X21</f>
        <v>38199.999999999993</v>
      </c>
      <c r="D17" s="57">
        <f>'OEE overzicht'!Y21</f>
        <v>22990</v>
      </c>
      <c r="E17" s="53">
        <f>'OEE overzicht'!Z21</f>
        <v>76399.999999999985</v>
      </c>
      <c r="F17" s="57">
        <f>'OEE overzicht'!AA21</f>
        <v>45980</v>
      </c>
      <c r="G17" s="53">
        <f>'OEE overzicht'!AB21</f>
        <v>114599.99999999999</v>
      </c>
      <c r="H17" s="57">
        <f>'OEE overzicht'!AC21</f>
        <v>68970</v>
      </c>
      <c r="I17" s="53">
        <f>'OEE overzicht'!AD21</f>
        <v>152799.99999999997</v>
      </c>
      <c r="J17" s="57">
        <f>'OEE overzicht'!AE21</f>
        <v>91960</v>
      </c>
      <c r="K17" s="53">
        <f>'OEE overzicht'!AF21</f>
        <v>167315.99999999997</v>
      </c>
      <c r="L17" s="57">
        <f>'OEE overzicht'!AG21</f>
        <v>100696.2</v>
      </c>
    </row>
    <row r="18" spans="2:12">
      <c r="B18" s="13" t="s">
        <v>21</v>
      </c>
      <c r="C18" s="53">
        <f>'OEE overzicht'!X22</f>
        <v>27000</v>
      </c>
      <c r="D18" s="57">
        <f>'OEE overzicht'!Y22</f>
        <v>17000</v>
      </c>
      <c r="E18" s="53">
        <f>'OEE overzicht'!Z22</f>
        <v>54000</v>
      </c>
      <c r="F18" s="57">
        <f>'OEE overzicht'!AA22</f>
        <v>34000</v>
      </c>
      <c r="G18" s="53">
        <f>'OEE overzicht'!AB22</f>
        <v>81000</v>
      </c>
      <c r="H18" s="57">
        <f>'OEE overzicht'!AC22</f>
        <v>51000</v>
      </c>
      <c r="I18" s="53">
        <f>'OEE overzicht'!AD22</f>
        <v>108000</v>
      </c>
      <c r="J18" s="57">
        <f>'OEE overzicht'!AE22</f>
        <v>68000</v>
      </c>
      <c r="K18" s="53">
        <f>'OEE overzicht'!AF22</f>
        <v>118260</v>
      </c>
      <c r="L18" s="57">
        <f>'OEE overzicht'!AG22</f>
        <v>74460</v>
      </c>
    </row>
    <row r="19" spans="2:12">
      <c r="B19" s="13" t="s">
        <v>12</v>
      </c>
      <c r="C19" s="53">
        <f>'OEE overzicht'!X23</f>
        <v>38000</v>
      </c>
      <c r="D19" s="57">
        <f>'OEE overzicht'!Y23</f>
        <v>23600</v>
      </c>
      <c r="E19" s="53">
        <f>'OEE overzicht'!Z23</f>
        <v>76000</v>
      </c>
      <c r="F19" s="57">
        <f>'OEE overzicht'!AA23</f>
        <v>47200</v>
      </c>
      <c r="G19" s="53">
        <f>'OEE overzicht'!AB23</f>
        <v>114000</v>
      </c>
      <c r="H19" s="57">
        <f>'OEE overzicht'!AC23</f>
        <v>70800</v>
      </c>
      <c r="I19" s="53">
        <f>'OEE overzicht'!AD23</f>
        <v>152000</v>
      </c>
      <c r="J19" s="57">
        <f>'OEE overzicht'!AE23</f>
        <v>94400</v>
      </c>
      <c r="K19" s="53">
        <f>'OEE overzicht'!AF23</f>
        <v>166440</v>
      </c>
      <c r="L19" s="57">
        <f>'OEE overzicht'!AG23</f>
        <v>103368</v>
      </c>
    </row>
    <row r="20" spans="2:12" ht="17" thickBot="1">
      <c r="B20" s="14" t="s">
        <v>13</v>
      </c>
      <c r="C20" s="54">
        <f>'OEE overzicht'!X24</f>
        <v>25200.000000000004</v>
      </c>
      <c r="D20" s="58">
        <f>'OEE overzicht'!Y24</f>
        <v>14200</v>
      </c>
      <c r="E20" s="54">
        <f>'OEE overzicht'!Z24</f>
        <v>50400.000000000007</v>
      </c>
      <c r="F20" s="58">
        <f>'OEE overzicht'!AA24</f>
        <v>28400</v>
      </c>
      <c r="G20" s="54">
        <f>'OEE overzicht'!AB24</f>
        <v>75600.000000000015</v>
      </c>
      <c r="H20" s="58">
        <f>'OEE overzicht'!AC24</f>
        <v>42600</v>
      </c>
      <c r="I20" s="54">
        <f>'OEE overzicht'!AD24</f>
        <v>100800.00000000001</v>
      </c>
      <c r="J20" s="58">
        <f>'OEE overzicht'!AE24</f>
        <v>56800</v>
      </c>
      <c r="K20" s="54">
        <f>'OEE overzicht'!AF24</f>
        <v>110376.00000000001</v>
      </c>
      <c r="L20" s="58">
        <f>'OEE overzicht'!AG24</f>
        <v>62196</v>
      </c>
    </row>
  </sheetData>
  <mergeCells count="7">
    <mergeCell ref="C4:L4"/>
    <mergeCell ref="C5:L5"/>
    <mergeCell ref="C6:D6"/>
    <mergeCell ref="E6:F6"/>
    <mergeCell ref="G6:H6"/>
    <mergeCell ref="I6:J6"/>
    <mergeCell ref="K6:L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6260-00CC-6743-9768-422D50D26936}">
  <dimension ref="B3:H36"/>
  <sheetViews>
    <sheetView zoomScale="135" workbookViewId="0">
      <selection activeCell="K17" sqref="K17"/>
    </sheetView>
  </sheetViews>
  <sheetFormatPr baseColWidth="10" defaultRowHeight="16"/>
  <cols>
    <col min="2" max="2" width="17.1640625" bestFit="1" customWidth="1"/>
    <col min="3" max="3" width="43.83203125" bestFit="1" customWidth="1"/>
    <col min="4" max="4" width="15.83203125" customWidth="1"/>
    <col min="5" max="5" width="20.83203125" bestFit="1" customWidth="1"/>
    <col min="6" max="6" width="15.83203125" customWidth="1"/>
  </cols>
  <sheetData>
    <row r="3" spans="2:8">
      <c r="D3" s="3" t="s">
        <v>71</v>
      </c>
      <c r="E3" s="3" t="s">
        <v>72</v>
      </c>
      <c r="F3" s="3" t="s">
        <v>73</v>
      </c>
      <c r="G3" s="3"/>
      <c r="H3" s="3"/>
    </row>
    <row r="4" spans="2:8">
      <c r="B4" t="s">
        <v>44</v>
      </c>
      <c r="C4" t="s">
        <v>45</v>
      </c>
    </row>
    <row r="5" spans="2:8">
      <c r="B5" t="s">
        <v>44</v>
      </c>
      <c r="C5" t="s">
        <v>46</v>
      </c>
    </row>
    <row r="6" spans="2:8">
      <c r="B6" t="s">
        <v>44</v>
      </c>
      <c r="C6" t="s">
        <v>47</v>
      </c>
    </row>
    <row r="7" spans="2:8">
      <c r="B7" t="s">
        <v>44</v>
      </c>
      <c r="C7" t="s">
        <v>48</v>
      </c>
    </row>
    <row r="8" spans="2:8">
      <c r="B8" t="s">
        <v>22</v>
      </c>
      <c r="C8" t="s">
        <v>49</v>
      </c>
    </row>
    <row r="9" spans="2:8">
      <c r="B9" t="s">
        <v>22</v>
      </c>
      <c r="C9" t="s">
        <v>50</v>
      </c>
    </row>
    <row r="10" spans="2:8">
      <c r="B10" t="s">
        <v>22</v>
      </c>
      <c r="C10" t="s">
        <v>51</v>
      </c>
    </row>
    <row r="11" spans="2:8">
      <c r="B11" t="s">
        <v>22</v>
      </c>
      <c r="C11" t="s">
        <v>52</v>
      </c>
    </row>
    <row r="12" spans="2:8">
      <c r="B12" t="s">
        <v>23</v>
      </c>
      <c r="C12" t="s">
        <v>53</v>
      </c>
    </row>
    <row r="13" spans="2:8">
      <c r="B13" t="s">
        <v>23</v>
      </c>
      <c r="C13" t="s">
        <v>54</v>
      </c>
    </row>
    <row r="14" spans="2:8">
      <c r="B14" t="s">
        <v>23</v>
      </c>
      <c r="C14" t="s">
        <v>55</v>
      </c>
    </row>
    <row r="15" spans="2:8">
      <c r="B15" t="s">
        <v>23</v>
      </c>
      <c r="C15" t="s">
        <v>56</v>
      </c>
    </row>
    <row r="16" spans="2:8">
      <c r="B16" t="s">
        <v>24</v>
      </c>
      <c r="C16" t="s">
        <v>57</v>
      </c>
    </row>
    <row r="17" spans="2:6">
      <c r="B17" t="s">
        <v>24</v>
      </c>
      <c r="C17" t="s">
        <v>58</v>
      </c>
    </row>
    <row r="18" spans="2:6">
      <c r="B18" t="s">
        <v>24</v>
      </c>
      <c r="C18" t="s">
        <v>59</v>
      </c>
    </row>
    <row r="19" spans="2:6">
      <c r="B19" t="s">
        <v>24</v>
      </c>
      <c r="C19" t="s">
        <v>60</v>
      </c>
    </row>
    <row r="20" spans="2:6">
      <c r="B20" t="s">
        <v>61</v>
      </c>
      <c r="C20" t="s">
        <v>62</v>
      </c>
    </row>
    <row r="21" spans="2:6">
      <c r="B21" t="s">
        <v>61</v>
      </c>
      <c r="C21" t="s">
        <v>63</v>
      </c>
    </row>
    <row r="22" spans="2:6">
      <c r="B22" t="s">
        <v>61</v>
      </c>
      <c r="C22" t="s">
        <v>64</v>
      </c>
    </row>
    <row r="23" spans="2:6">
      <c r="B23" t="s">
        <v>61</v>
      </c>
      <c r="C23" t="s">
        <v>65</v>
      </c>
    </row>
    <row r="24" spans="2:6">
      <c r="B24" t="s">
        <v>66</v>
      </c>
      <c r="C24" t="s">
        <v>67</v>
      </c>
    </row>
    <row r="25" spans="2:6">
      <c r="B25" t="s">
        <v>66</v>
      </c>
      <c r="C25" t="s">
        <v>68</v>
      </c>
    </row>
    <row r="26" spans="2:6">
      <c r="B26" t="s">
        <v>66</v>
      </c>
      <c r="C26" t="s">
        <v>69</v>
      </c>
    </row>
    <row r="27" spans="2:6">
      <c r="B27" t="s">
        <v>66</v>
      </c>
      <c r="C27" t="s">
        <v>70</v>
      </c>
    </row>
    <row r="28" spans="2:6">
      <c r="E28" s="23" t="s">
        <v>74</v>
      </c>
      <c r="F28">
        <f>SUM(D4:D27)+SUM(E4:E27)+SUM(F4:F27)</f>
        <v>0</v>
      </c>
    </row>
    <row r="32" spans="2:6">
      <c r="D32" s="1" t="s">
        <v>75</v>
      </c>
      <c r="E32" s="1" t="s">
        <v>80</v>
      </c>
      <c r="F32" s="1" t="s">
        <v>41</v>
      </c>
    </row>
    <row r="33" spans="4:6">
      <c r="D33" t="s">
        <v>76</v>
      </c>
      <c r="E33" t="s">
        <v>42</v>
      </c>
      <c r="F33" t="s">
        <v>84</v>
      </c>
    </row>
    <row r="34" spans="4:6">
      <c r="D34" t="s">
        <v>77</v>
      </c>
      <c r="E34" t="s">
        <v>81</v>
      </c>
      <c r="F34" t="s">
        <v>38</v>
      </c>
    </row>
    <row r="35" spans="4:6">
      <c r="D35" t="s">
        <v>78</v>
      </c>
      <c r="E35" t="s">
        <v>82</v>
      </c>
      <c r="F35" t="s">
        <v>39</v>
      </c>
    </row>
    <row r="36" spans="4:6">
      <c r="D36" t="s">
        <v>79</v>
      </c>
      <c r="E36" t="s">
        <v>83</v>
      </c>
      <c r="F36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6006-1518-C24B-A4CF-1A655BCDAFD6}">
  <dimension ref="A1"/>
  <sheetViews>
    <sheetView workbookViewId="0">
      <selection activeCell="I36" sqref="I36"/>
    </sheetView>
  </sheetViews>
  <sheetFormatPr baseColWidth="10" defaultRowHeight="16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F38239DD1C4447B23BE4A92B85D8E7" ma:contentTypeVersion="16" ma:contentTypeDescription="Een nieuw document maken." ma:contentTypeScope="" ma:versionID="a6ee70f514e41ac56f34b81549822a12">
  <xsd:schema xmlns:xsd="http://www.w3.org/2001/XMLSchema" xmlns:xs="http://www.w3.org/2001/XMLSchema" xmlns:p="http://schemas.microsoft.com/office/2006/metadata/properties" xmlns:ns2="efe6b770-4f1c-4a8f-a7d0-1e0b7a7d09d6" xmlns:ns3="41b6c2e0-2fbe-4dc2-9f80-f90da7ca5ec0" targetNamespace="http://schemas.microsoft.com/office/2006/metadata/properties" ma:root="true" ma:fieldsID="5739824a2acdb2a5f95746758f06bcc7" ns2:_="" ns3:_="">
    <xsd:import namespace="efe6b770-4f1c-4a8f-a7d0-1e0b7a7d09d6"/>
    <xsd:import namespace="41b6c2e0-2fbe-4dc2-9f80-f90da7ca5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6b770-4f1c-4a8f-a7d0-1e0b7a7d0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149709c4-5eaa-403d-b286-78c3e1b2c5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b6c2e0-2fbe-4dc2-9f80-f90da7ca5ec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01679f1-24b8-45d2-9a9b-51c3c2f6745e}" ma:internalName="TaxCatchAll" ma:showField="CatchAllData" ma:web="41b6c2e0-2fbe-4dc2-9f80-f90da7ca5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b6c2e0-2fbe-4dc2-9f80-f90da7ca5ec0" xsi:nil="true"/>
    <lcf76f155ced4ddcb4097134ff3c332f xmlns="efe6b770-4f1c-4a8f-a7d0-1e0b7a7d09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71CD5F-1D75-410A-AD15-52F084A5FE99}"/>
</file>

<file path=customXml/itemProps2.xml><?xml version="1.0" encoding="utf-8"?>
<ds:datastoreItem xmlns:ds="http://schemas.openxmlformats.org/officeDocument/2006/customXml" ds:itemID="{8F632E7F-0DBA-445A-AF5E-688274955754}"/>
</file>

<file path=customXml/itemProps3.xml><?xml version="1.0" encoding="utf-8"?>
<ds:datastoreItem xmlns:ds="http://schemas.openxmlformats.org/officeDocument/2006/customXml" ds:itemID="{28703816-9DCD-4A22-8D8C-A35FC64605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OEE overzicht</vt:lpstr>
      <vt:lpstr>Blad3</vt:lpstr>
      <vt:lpstr>OEE categorie checklist</vt:lpstr>
      <vt:lpstr>Blue vs T4A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Torpstra</dc:creator>
  <cp:lastModifiedBy>Tom Torpstra</cp:lastModifiedBy>
  <dcterms:created xsi:type="dcterms:W3CDTF">2025-12-22T10:49:27Z</dcterms:created>
  <dcterms:modified xsi:type="dcterms:W3CDTF">2026-01-19T12:32:56Z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0x0101006CF38239DD1C4447B23BE4A92B85D8E7</vt:lpwstr>
  </property>
</Properties>
</file>